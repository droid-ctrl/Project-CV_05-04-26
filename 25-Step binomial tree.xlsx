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0B7063FA-6316-478A-B03B-43217C47E8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U271" i="1" l="1"/>
  <c r="AI196" i="1"/>
  <c r="C13" i="1"/>
  <c r="A28" i="1"/>
  <c r="C19" i="1" l="1"/>
  <c r="C16" i="1"/>
  <c r="C14" i="1"/>
  <c r="AY28" i="1"/>
  <c r="AZ28" i="1" s="1"/>
  <c r="AW28" i="1"/>
  <c r="C41" i="1" s="1"/>
  <c r="AU28" i="1"/>
  <c r="G46" i="1" s="1"/>
  <c r="AS28" i="1"/>
  <c r="K56" i="1" s="1"/>
  <c r="AQ28" i="1"/>
  <c r="O66" i="1" s="1"/>
  <c r="C15" i="1" l="1"/>
  <c r="AO31" i="1"/>
  <c r="S81" i="1" s="1"/>
  <c r="AO28" i="1"/>
  <c r="S76" i="1" s="1"/>
  <c r="AM28" i="1"/>
  <c r="W86" i="1" s="1"/>
  <c r="AK28" i="1"/>
  <c r="AA96" i="1" s="1"/>
  <c r="AI28" i="1"/>
  <c r="AE106" i="1" s="1"/>
  <c r="AG28" i="1"/>
  <c r="AI116" i="1" s="1"/>
  <c r="AE28" i="1"/>
  <c r="AM126" i="1" s="1"/>
  <c r="AC28" i="1"/>
  <c r="AQ136" i="1" s="1"/>
  <c r="AA49" i="1"/>
  <c r="AU181" i="1" s="1"/>
  <c r="AA58" i="1"/>
  <c r="AU196" i="1" s="1"/>
  <c r="AA52" i="1"/>
  <c r="AU186" i="1" s="1"/>
  <c r="AA46" i="1"/>
  <c r="AU176" i="1" s="1"/>
  <c r="AA40" i="1"/>
  <c r="AU166" i="1" s="1"/>
  <c r="AA43" i="1"/>
  <c r="AU171" i="1" s="1"/>
  <c r="AA37" i="1"/>
  <c r="AU161" i="1" s="1"/>
  <c r="AA28" i="1"/>
  <c r="AU146" i="1" s="1"/>
  <c r="Y49" i="1"/>
  <c r="AY191" i="1" s="1"/>
  <c r="Y28" i="1"/>
  <c r="AY156" i="1" s="1"/>
  <c r="W28" i="1"/>
  <c r="BC166" i="1" s="1"/>
  <c r="U31" i="1"/>
  <c r="BG181" i="1" s="1"/>
  <c r="U28" i="1"/>
  <c r="BG176" i="1" s="1"/>
  <c r="S28" i="1"/>
  <c r="BK186" i="1" s="1"/>
  <c r="Q40" i="1"/>
  <c r="BO216" i="1" s="1"/>
  <c r="Q28" i="1"/>
  <c r="BO196" i="1" s="1"/>
  <c r="O28" i="1"/>
  <c r="BS206" i="1" s="1"/>
  <c r="M31" i="1"/>
  <c r="BW221" i="1" s="1"/>
  <c r="M28" i="1"/>
  <c r="BW216" i="1" s="1"/>
  <c r="K40" i="1"/>
  <c r="CA246" i="1" s="1"/>
  <c r="K37" i="1"/>
  <c r="CA241" i="1" s="1"/>
  <c r="K28" i="1"/>
  <c r="CA226" i="1" s="1"/>
  <c r="I37" i="1"/>
  <c r="CE251" i="1" s="1"/>
  <c r="I34" i="1"/>
  <c r="CE246" i="1" s="1"/>
  <c r="I31" i="1"/>
  <c r="CE241" i="1" s="1"/>
  <c r="I28" i="1"/>
  <c r="CE236" i="1" s="1"/>
  <c r="G34" i="1"/>
  <c r="CI256" i="1" s="1"/>
  <c r="G31" i="1"/>
  <c r="CI251" i="1" s="1"/>
  <c r="G28" i="1"/>
  <c r="CI246" i="1" s="1"/>
  <c r="E31" i="1"/>
  <c r="CM261" i="1" s="1"/>
  <c r="E28" i="1"/>
  <c r="CM256" i="1" s="1"/>
  <c r="C28" i="1"/>
  <c r="CQ266" i="1" s="1"/>
  <c r="C17" i="1"/>
  <c r="C18" i="1" s="1"/>
  <c r="AO88" i="1" l="1"/>
  <c r="S176" i="1" s="1"/>
  <c r="AO85" i="1"/>
  <c r="S171" i="1" s="1"/>
  <c r="AO82" i="1"/>
  <c r="S166" i="1" s="1"/>
  <c r="AO79" i="1"/>
  <c r="S161" i="1" s="1"/>
  <c r="AO76" i="1"/>
  <c r="S156" i="1" s="1"/>
  <c r="AO73" i="1"/>
  <c r="S151" i="1" s="1"/>
  <c r="AO70" i="1"/>
  <c r="S146" i="1" s="1"/>
  <c r="AO67" i="1"/>
  <c r="S141" i="1" s="1"/>
  <c r="AO64" i="1"/>
  <c r="S136" i="1" s="1"/>
  <c r="AO61" i="1"/>
  <c r="S131" i="1" s="1"/>
  <c r="AO58" i="1"/>
  <c r="S126" i="1" s="1"/>
  <c r="AO55" i="1"/>
  <c r="S121" i="1" s="1"/>
  <c r="AO52" i="1"/>
  <c r="S116" i="1" s="1"/>
  <c r="AO49" i="1"/>
  <c r="S111" i="1" s="1"/>
  <c r="AO46" i="1"/>
  <c r="S106" i="1" s="1"/>
  <c r="AO43" i="1"/>
  <c r="S101" i="1" s="1"/>
  <c r="AO40" i="1"/>
  <c r="S96" i="1" s="1"/>
  <c r="AO37" i="1"/>
  <c r="S91" i="1" s="1"/>
  <c r="AO34" i="1"/>
  <c r="S86" i="1" s="1"/>
  <c r="AM85" i="1"/>
  <c r="W181" i="1" s="1"/>
  <c r="AM82" i="1"/>
  <c r="W176" i="1" s="1"/>
  <c r="AM79" i="1"/>
  <c r="W171" i="1" s="1"/>
  <c r="AM76" i="1"/>
  <c r="W166" i="1" s="1"/>
  <c r="AM73" i="1"/>
  <c r="W161" i="1" s="1"/>
  <c r="AM70" i="1"/>
  <c r="W156" i="1" s="1"/>
  <c r="AM67" i="1"/>
  <c r="W151" i="1" s="1"/>
  <c r="AM64" i="1"/>
  <c r="W146" i="1" s="1"/>
  <c r="AM61" i="1"/>
  <c r="W141" i="1" s="1"/>
  <c r="AM58" i="1"/>
  <c r="W136" i="1" s="1"/>
  <c r="AM55" i="1"/>
  <c r="W131" i="1" s="1"/>
  <c r="AM52" i="1"/>
  <c r="W126" i="1" s="1"/>
  <c r="AM49" i="1"/>
  <c r="W121" i="1" s="1"/>
  <c r="AM46" i="1"/>
  <c r="W116" i="1" s="1"/>
  <c r="AM43" i="1"/>
  <c r="W111" i="1" s="1"/>
  <c r="AM40" i="1"/>
  <c r="W106" i="1" s="1"/>
  <c r="AM37" i="1"/>
  <c r="W101" i="1" s="1"/>
  <c r="AM34" i="1"/>
  <c r="W96" i="1" s="1"/>
  <c r="AM31" i="1"/>
  <c r="W91" i="1" s="1"/>
  <c r="AK82" i="1"/>
  <c r="AA186" i="1" s="1"/>
  <c r="AK79" i="1"/>
  <c r="AA181" i="1" s="1"/>
  <c r="AK76" i="1"/>
  <c r="AA176" i="1" s="1"/>
  <c r="AK73" i="1"/>
  <c r="AA171" i="1" s="1"/>
  <c r="AK70" i="1"/>
  <c r="AA166" i="1" s="1"/>
  <c r="AK67" i="1"/>
  <c r="AA161" i="1" s="1"/>
  <c r="AK64" i="1"/>
  <c r="AA156" i="1" s="1"/>
  <c r="AK61" i="1"/>
  <c r="AA151" i="1" s="1"/>
  <c r="AK58" i="1"/>
  <c r="AA146" i="1" s="1"/>
  <c r="AK55" i="1"/>
  <c r="AA141" i="1" s="1"/>
  <c r="AK52" i="1"/>
  <c r="AA136" i="1" s="1"/>
  <c r="AK49" i="1"/>
  <c r="AA131" i="1" s="1"/>
  <c r="AK46" i="1"/>
  <c r="AA126" i="1" s="1"/>
  <c r="AK43" i="1"/>
  <c r="AA121" i="1" s="1"/>
  <c r="AK40" i="1"/>
  <c r="AA116" i="1" s="1"/>
  <c r="AK37" i="1"/>
  <c r="AA111" i="1" s="1"/>
  <c r="AK34" i="1"/>
  <c r="AA106" i="1" s="1"/>
  <c r="AK31" i="1"/>
  <c r="AA101" i="1" s="1"/>
  <c r="AI79" i="1"/>
  <c r="AE191" i="1" s="1"/>
  <c r="AI76" i="1"/>
  <c r="AE186" i="1" s="1"/>
  <c r="AI73" i="1"/>
  <c r="AE181" i="1" s="1"/>
  <c r="AI70" i="1"/>
  <c r="AE176" i="1" s="1"/>
  <c r="AI67" i="1"/>
  <c r="AE171" i="1" s="1"/>
  <c r="AI64" i="1"/>
  <c r="AE166" i="1" s="1"/>
  <c r="AI61" i="1"/>
  <c r="AE161" i="1" s="1"/>
  <c r="AI58" i="1"/>
  <c r="AE156" i="1" s="1"/>
  <c r="AI55" i="1"/>
  <c r="AE151" i="1" s="1"/>
  <c r="AI52" i="1"/>
  <c r="AE146" i="1" s="1"/>
  <c r="AI49" i="1"/>
  <c r="AE141" i="1" s="1"/>
  <c r="AI46" i="1"/>
  <c r="AE136" i="1" s="1"/>
  <c r="AI43" i="1"/>
  <c r="AE131" i="1" s="1"/>
  <c r="AI40" i="1"/>
  <c r="AE126" i="1" s="1"/>
  <c r="AI34" i="1"/>
  <c r="AE116" i="1" s="1"/>
  <c r="AI37" i="1"/>
  <c r="AE121" i="1" s="1"/>
  <c r="AI31" i="1"/>
  <c r="AE111" i="1" s="1"/>
  <c r="AG76" i="1"/>
  <c r="AI191" i="1" s="1"/>
  <c r="AG73" i="1"/>
  <c r="AI186" i="1" s="1"/>
  <c r="AG70" i="1"/>
  <c r="AG67" i="1"/>
  <c r="AI181" i="1" s="1"/>
  <c r="AG64" i="1"/>
  <c r="AI176" i="1" s="1"/>
  <c r="AG61" i="1"/>
  <c r="AI171" i="1" s="1"/>
  <c r="AG58" i="1"/>
  <c r="AI166" i="1" s="1"/>
  <c r="AG55" i="1"/>
  <c r="AI161" i="1" s="1"/>
  <c r="AG52" i="1"/>
  <c r="AI156" i="1" s="1"/>
  <c r="AG49" i="1"/>
  <c r="AI151" i="1" s="1"/>
  <c r="AG46" i="1"/>
  <c r="AI146" i="1" s="1"/>
  <c r="AG43" i="1"/>
  <c r="AI141" i="1" s="1"/>
  <c r="AG40" i="1"/>
  <c r="AI136" i="1" s="1"/>
  <c r="AG37" i="1"/>
  <c r="AI131" i="1" s="1"/>
  <c r="AG34" i="1"/>
  <c r="AI126" i="1" s="1"/>
  <c r="AG31" i="1"/>
  <c r="AI121" i="1" s="1"/>
  <c r="AE73" i="1"/>
  <c r="AE70" i="1"/>
  <c r="AM201" i="1" s="1"/>
  <c r="AE67" i="1"/>
  <c r="AM196" i="1" s="1"/>
  <c r="AE64" i="1"/>
  <c r="AM191" i="1" s="1"/>
  <c r="AE61" i="1"/>
  <c r="AM186" i="1" s="1"/>
  <c r="AE58" i="1"/>
  <c r="AM181" i="1" s="1"/>
  <c r="AE55" i="1"/>
  <c r="AM176" i="1" s="1"/>
  <c r="AE52" i="1"/>
  <c r="AE49" i="1"/>
  <c r="AM161" i="1" s="1"/>
  <c r="AE46" i="1"/>
  <c r="AM156" i="1" s="1"/>
  <c r="AE43" i="1"/>
  <c r="AM151" i="1" s="1"/>
  <c r="AE40" i="1"/>
  <c r="AM146" i="1" s="1"/>
  <c r="AE37" i="1"/>
  <c r="AM141" i="1" s="1"/>
  <c r="AE34" i="1"/>
  <c r="AM136" i="1" s="1"/>
  <c r="AE31" i="1"/>
  <c r="AM131" i="1" s="1"/>
  <c r="AC70" i="1"/>
  <c r="AQ206" i="1" s="1"/>
  <c r="AC67" i="1"/>
  <c r="AQ201" i="1" s="1"/>
  <c r="AC64" i="1"/>
  <c r="AQ196" i="1" s="1"/>
  <c r="AC61" i="1"/>
  <c r="AQ191" i="1" s="1"/>
  <c r="AC58" i="1"/>
  <c r="AQ186" i="1" s="1"/>
  <c r="AC55" i="1"/>
  <c r="AQ181" i="1" s="1"/>
  <c r="AC52" i="1"/>
  <c r="AQ176" i="1" s="1"/>
  <c r="AC49" i="1"/>
  <c r="AQ171" i="1" s="1"/>
  <c r="AC46" i="1"/>
  <c r="AQ166" i="1" s="1"/>
  <c r="AC43" i="1"/>
  <c r="AQ161" i="1" s="1"/>
  <c r="AC40" i="1"/>
  <c r="AQ156" i="1" s="1"/>
  <c r="AC37" i="1"/>
  <c r="AQ151" i="1" s="1"/>
  <c r="AC34" i="1"/>
  <c r="AQ146" i="1" s="1"/>
  <c r="AC31" i="1"/>
  <c r="AQ141" i="1" s="1"/>
  <c r="AA67" i="1"/>
  <c r="AU211" i="1" s="1"/>
  <c r="AA64" i="1"/>
  <c r="AU206" i="1" s="1"/>
  <c r="AA61" i="1"/>
  <c r="AU201" i="1" s="1"/>
  <c r="AA55" i="1"/>
  <c r="AU191" i="1" s="1"/>
  <c r="AA34" i="1"/>
  <c r="AU156" i="1" s="1"/>
  <c r="AA31" i="1"/>
  <c r="AU151" i="1" s="1"/>
  <c r="Y64" i="1"/>
  <c r="AY216" i="1" s="1"/>
  <c r="Y61" i="1"/>
  <c r="AY211" i="1" s="1"/>
  <c r="Y58" i="1"/>
  <c r="AY206" i="1" s="1"/>
  <c r="Y55" i="1"/>
  <c r="AY201" i="1" s="1"/>
  <c r="Y52" i="1"/>
  <c r="AY196" i="1" s="1"/>
  <c r="Y43" i="1"/>
  <c r="AY181" i="1" s="1"/>
  <c r="Y46" i="1"/>
  <c r="AY186" i="1" s="1"/>
  <c r="Y40" i="1"/>
  <c r="AY176" i="1" s="1"/>
  <c r="Y37" i="1"/>
  <c r="AY171" i="1" s="1"/>
  <c r="Y34" i="1"/>
  <c r="AY166" i="1" s="1"/>
  <c r="Y31" i="1"/>
  <c r="AY161" i="1" s="1"/>
  <c r="W61" i="1"/>
  <c r="BC221" i="1" s="1"/>
  <c r="W58" i="1"/>
  <c r="BC216" i="1" s="1"/>
  <c r="W55" i="1"/>
  <c r="BC211" i="1" s="1"/>
  <c r="W52" i="1"/>
  <c r="BC206" i="1" s="1"/>
  <c r="W49" i="1"/>
  <c r="BC201" i="1" s="1"/>
  <c r="W46" i="1"/>
  <c r="BC196" i="1" s="1"/>
  <c r="W43" i="1"/>
  <c r="BC191" i="1" s="1"/>
  <c r="W40" i="1"/>
  <c r="BC186" i="1" s="1"/>
  <c r="W37" i="1"/>
  <c r="BC181" i="1" s="1"/>
  <c r="W34" i="1"/>
  <c r="BC176" i="1" s="1"/>
  <c r="W31" i="1"/>
  <c r="BC171" i="1" s="1"/>
  <c r="U58" i="1"/>
  <c r="BG226" i="1" s="1"/>
  <c r="U55" i="1"/>
  <c r="BG221" i="1" s="1"/>
  <c r="U52" i="1"/>
  <c r="BG216" i="1" s="1"/>
  <c r="U49" i="1"/>
  <c r="BG211" i="1" s="1"/>
  <c r="U46" i="1"/>
  <c r="BG206" i="1" s="1"/>
  <c r="U43" i="1"/>
  <c r="BG201" i="1" s="1"/>
  <c r="U40" i="1"/>
  <c r="BG196" i="1" s="1"/>
  <c r="U37" i="1"/>
  <c r="BG191" i="1" s="1"/>
  <c r="U34" i="1"/>
  <c r="BG186" i="1" s="1"/>
  <c r="S55" i="1"/>
  <c r="BK231" i="1" s="1"/>
  <c r="S52" i="1"/>
  <c r="BK226" i="1" s="1"/>
  <c r="S49" i="1"/>
  <c r="BK221" i="1" s="1"/>
  <c r="S46" i="1"/>
  <c r="BK216" i="1" s="1"/>
  <c r="S43" i="1"/>
  <c r="BK211" i="1" s="1"/>
  <c r="S40" i="1"/>
  <c r="BK206" i="1" s="1"/>
  <c r="S37" i="1"/>
  <c r="BK201" i="1" s="1"/>
  <c r="S34" i="1"/>
  <c r="BK196" i="1" s="1"/>
  <c r="S31" i="1"/>
  <c r="BK191" i="1" s="1"/>
  <c r="Q52" i="1"/>
  <c r="BO236" i="1" s="1"/>
  <c r="Q49" i="1"/>
  <c r="BO231" i="1" s="1"/>
  <c r="Q46" i="1"/>
  <c r="BO226" i="1" s="1"/>
  <c r="Q43" i="1"/>
  <c r="BO221" i="1" s="1"/>
  <c r="Q37" i="1"/>
  <c r="BO211" i="1" s="1"/>
  <c r="Q34" i="1"/>
  <c r="BO206" i="1" s="1"/>
  <c r="Q31" i="1"/>
  <c r="BO201" i="1" s="1"/>
  <c r="O49" i="1"/>
  <c r="BS241" i="1" s="1"/>
  <c r="O46" i="1"/>
  <c r="BS236" i="1" s="1"/>
  <c r="O43" i="1"/>
  <c r="BS231" i="1" s="1"/>
  <c r="O40" i="1"/>
  <c r="BS226" i="1" s="1"/>
  <c r="O37" i="1"/>
  <c r="BS221" i="1" s="1"/>
  <c r="O34" i="1"/>
  <c r="BS216" i="1" s="1"/>
  <c r="O31" i="1"/>
  <c r="BS211" i="1" s="1"/>
  <c r="M46" i="1"/>
  <c r="BW246" i="1" s="1"/>
  <c r="M43" i="1"/>
  <c r="BW241" i="1" s="1"/>
  <c r="M40" i="1"/>
  <c r="BW236" i="1" s="1"/>
  <c r="M37" i="1"/>
  <c r="BW231" i="1" s="1"/>
  <c r="M34" i="1"/>
  <c r="BW226" i="1" s="1"/>
  <c r="K43" i="1"/>
  <c r="CA251" i="1" s="1"/>
  <c r="K34" i="1"/>
  <c r="CA236" i="1" s="1"/>
  <c r="K31" i="1"/>
  <c r="CA231" i="1" s="1"/>
  <c r="I40" i="1"/>
  <c r="CE256" i="1" s="1"/>
  <c r="G37" i="1"/>
  <c r="CI261" i="1" s="1"/>
  <c r="E34" i="1"/>
  <c r="CM266" i="1" s="1"/>
  <c r="C31" i="1"/>
  <c r="CQ271" i="1" s="1"/>
  <c r="AY103" i="1"/>
  <c r="AZ103" i="1" s="1"/>
  <c r="AY100" i="1"/>
  <c r="AZ100" i="1" s="1"/>
  <c r="C160" i="1" s="1"/>
  <c r="AY97" i="1"/>
  <c r="AZ97" i="1" s="1"/>
  <c r="C155" i="1" s="1"/>
  <c r="G160" i="1" s="1"/>
  <c r="AY94" i="1"/>
  <c r="AZ94" i="1" s="1"/>
  <c r="C150" i="1" s="1"/>
  <c r="G155" i="1" s="1"/>
  <c r="AY91" i="1"/>
  <c r="AZ91" i="1" s="1"/>
  <c r="C145" i="1" s="1"/>
  <c r="G150" i="1" s="1"/>
  <c r="AY88" i="1"/>
  <c r="AZ88" i="1" s="1"/>
  <c r="C140" i="1" s="1"/>
  <c r="G145" i="1" s="1"/>
  <c r="AY85" i="1"/>
  <c r="AZ85" i="1" s="1"/>
  <c r="C135" i="1" s="1"/>
  <c r="G140" i="1" s="1"/>
  <c r="AY82" i="1"/>
  <c r="AZ82" i="1" s="1"/>
  <c r="C130" i="1" s="1"/>
  <c r="G135" i="1" s="1"/>
  <c r="AY79" i="1"/>
  <c r="AZ79" i="1" s="1"/>
  <c r="C125" i="1" s="1"/>
  <c r="G130" i="1" s="1"/>
  <c r="AY76" i="1"/>
  <c r="AZ76" i="1" s="1"/>
  <c r="C120" i="1" s="1"/>
  <c r="G125" i="1" s="1"/>
  <c r="AY73" i="1"/>
  <c r="AZ73" i="1" s="1"/>
  <c r="C115" i="1" s="1"/>
  <c r="G120" i="1" s="1"/>
  <c r="AY70" i="1"/>
  <c r="AZ70" i="1" s="1"/>
  <c r="C110" i="1" s="1"/>
  <c r="G115" i="1" s="1"/>
  <c r="AY67" i="1"/>
  <c r="AZ67" i="1" s="1"/>
  <c r="C105" i="1" s="1"/>
  <c r="G110" i="1" s="1"/>
  <c r="AY64" i="1"/>
  <c r="AZ64" i="1" s="1"/>
  <c r="C100" i="1" s="1"/>
  <c r="G105" i="1" s="1"/>
  <c r="AY61" i="1"/>
  <c r="AZ61" i="1" s="1"/>
  <c r="C95" i="1" s="1"/>
  <c r="G100" i="1" s="1"/>
  <c r="AY58" i="1"/>
  <c r="AZ58" i="1" s="1"/>
  <c r="C90" i="1" s="1"/>
  <c r="G95" i="1" s="1"/>
  <c r="AY55" i="1"/>
  <c r="AZ55" i="1" s="1"/>
  <c r="C85" i="1" s="1"/>
  <c r="G90" i="1" s="1"/>
  <c r="AY52" i="1"/>
  <c r="AZ52" i="1" s="1"/>
  <c r="C80" i="1" s="1"/>
  <c r="G85" i="1" s="1"/>
  <c r="AY49" i="1"/>
  <c r="AZ49" i="1" s="1"/>
  <c r="C75" i="1" s="1"/>
  <c r="G80" i="1" s="1"/>
  <c r="AY46" i="1"/>
  <c r="AZ46" i="1" s="1"/>
  <c r="C70" i="1" s="1"/>
  <c r="G75" i="1" s="1"/>
  <c r="AY43" i="1"/>
  <c r="AZ43" i="1" s="1"/>
  <c r="C65" i="1" s="1"/>
  <c r="G70" i="1" s="1"/>
  <c r="AY40" i="1"/>
  <c r="AZ40" i="1" s="1"/>
  <c r="C60" i="1" s="1"/>
  <c r="G65" i="1" s="1"/>
  <c r="AY37" i="1"/>
  <c r="AZ37" i="1" s="1"/>
  <c r="C55" i="1" s="1"/>
  <c r="G60" i="1" s="1"/>
  <c r="AY34" i="1"/>
  <c r="AZ34" i="1" s="1"/>
  <c r="C50" i="1" s="1"/>
  <c r="G55" i="1" s="1"/>
  <c r="AY31" i="1"/>
  <c r="AZ31" i="1" s="1"/>
  <c r="AW100" i="1"/>
  <c r="C161" i="1" s="1"/>
  <c r="AW97" i="1"/>
  <c r="C156" i="1" s="1"/>
  <c r="AW94" i="1"/>
  <c r="C151" i="1" s="1"/>
  <c r="AW91" i="1"/>
  <c r="C146" i="1" s="1"/>
  <c r="AW88" i="1"/>
  <c r="C141" i="1" s="1"/>
  <c r="AW85" i="1"/>
  <c r="C136" i="1" s="1"/>
  <c r="AW82" i="1"/>
  <c r="C131" i="1" s="1"/>
  <c r="AW79" i="1"/>
  <c r="C126" i="1" s="1"/>
  <c r="AW76" i="1"/>
  <c r="C121" i="1" s="1"/>
  <c r="AW73" i="1"/>
  <c r="C116" i="1" s="1"/>
  <c r="AW70" i="1"/>
  <c r="C111" i="1" s="1"/>
  <c r="AW67" i="1"/>
  <c r="C106" i="1" s="1"/>
  <c r="AW64" i="1"/>
  <c r="C101" i="1" s="1"/>
  <c r="AW61" i="1"/>
  <c r="C96" i="1" s="1"/>
  <c r="AW58" i="1"/>
  <c r="C91" i="1" s="1"/>
  <c r="AW55" i="1"/>
  <c r="C86" i="1" s="1"/>
  <c r="AW52" i="1"/>
  <c r="C81" i="1" s="1"/>
  <c r="AW49" i="1"/>
  <c r="C76" i="1" s="1"/>
  <c r="AW46" i="1"/>
  <c r="C71" i="1" s="1"/>
  <c r="AW43" i="1"/>
  <c r="C66" i="1" s="1"/>
  <c r="AW40" i="1"/>
  <c r="C61" i="1" s="1"/>
  <c r="AW37" i="1"/>
  <c r="C56" i="1" s="1"/>
  <c r="AW34" i="1"/>
  <c r="C51" i="1" s="1"/>
  <c r="AW31" i="1"/>
  <c r="C46" i="1" s="1"/>
  <c r="AU97" i="1"/>
  <c r="G161" i="1" s="1"/>
  <c r="AU94" i="1"/>
  <c r="G156" i="1" s="1"/>
  <c r="AU91" i="1"/>
  <c r="G151" i="1" s="1"/>
  <c r="AU88" i="1"/>
  <c r="G146" i="1" s="1"/>
  <c r="AU85" i="1"/>
  <c r="G141" i="1" s="1"/>
  <c r="AU82" i="1"/>
  <c r="G136" i="1" s="1"/>
  <c r="AU79" i="1"/>
  <c r="G131" i="1" s="1"/>
  <c r="AU76" i="1"/>
  <c r="G126" i="1" s="1"/>
  <c r="AU73" i="1"/>
  <c r="G121" i="1" s="1"/>
  <c r="AU70" i="1"/>
  <c r="G116" i="1" s="1"/>
  <c r="AU67" i="1"/>
  <c r="G111" i="1" s="1"/>
  <c r="AU64" i="1"/>
  <c r="G106" i="1" s="1"/>
  <c r="AU61" i="1"/>
  <c r="G101" i="1" s="1"/>
  <c r="AU58" i="1"/>
  <c r="G96" i="1" s="1"/>
  <c r="AU55" i="1"/>
  <c r="G91" i="1" s="1"/>
  <c r="AU52" i="1"/>
  <c r="G86" i="1" s="1"/>
  <c r="AU49" i="1"/>
  <c r="G81" i="1" s="1"/>
  <c r="AU46" i="1"/>
  <c r="G76" i="1" s="1"/>
  <c r="AU43" i="1"/>
  <c r="G71" i="1" s="1"/>
  <c r="AU40" i="1"/>
  <c r="G66" i="1" s="1"/>
  <c r="AU37" i="1"/>
  <c r="G61" i="1" s="1"/>
  <c r="AU34" i="1"/>
  <c r="G56" i="1" s="1"/>
  <c r="AU31" i="1"/>
  <c r="G51" i="1" s="1"/>
  <c r="AS94" i="1"/>
  <c r="K166" i="1" s="1"/>
  <c r="AS91" i="1"/>
  <c r="K161" i="1" s="1"/>
  <c r="AS88" i="1"/>
  <c r="K156" i="1" s="1"/>
  <c r="AS85" i="1"/>
  <c r="K151" i="1" s="1"/>
  <c r="AS82" i="1"/>
  <c r="K146" i="1" s="1"/>
  <c r="AS79" i="1"/>
  <c r="K141" i="1" s="1"/>
  <c r="AS76" i="1"/>
  <c r="K136" i="1" s="1"/>
  <c r="AS73" i="1"/>
  <c r="K131" i="1" s="1"/>
  <c r="AS70" i="1"/>
  <c r="K126" i="1" s="1"/>
  <c r="AS67" i="1"/>
  <c r="K121" i="1" s="1"/>
  <c r="AS64" i="1"/>
  <c r="K116" i="1" s="1"/>
  <c r="AS61" i="1"/>
  <c r="K111" i="1" s="1"/>
  <c r="AS58" i="1"/>
  <c r="K106" i="1" s="1"/>
  <c r="AS55" i="1"/>
  <c r="K101" i="1" s="1"/>
  <c r="AS52" i="1"/>
  <c r="K96" i="1" s="1"/>
  <c r="AS49" i="1"/>
  <c r="K91" i="1" s="1"/>
  <c r="AS46" i="1"/>
  <c r="K86" i="1" s="1"/>
  <c r="AS43" i="1"/>
  <c r="K81" i="1" s="1"/>
  <c r="AS40" i="1"/>
  <c r="K76" i="1" s="1"/>
  <c r="AS37" i="1"/>
  <c r="K71" i="1" s="1"/>
  <c r="AS34" i="1"/>
  <c r="K66" i="1" s="1"/>
  <c r="AS31" i="1"/>
  <c r="K61" i="1" s="1"/>
  <c r="AQ91" i="1"/>
  <c r="O171" i="1" s="1"/>
  <c r="AQ88" i="1"/>
  <c r="O166" i="1" s="1"/>
  <c r="AQ85" i="1"/>
  <c r="O161" i="1" s="1"/>
  <c r="AQ82" i="1"/>
  <c r="O156" i="1" s="1"/>
  <c r="AQ79" i="1"/>
  <c r="O151" i="1" s="1"/>
  <c r="AQ76" i="1"/>
  <c r="O146" i="1" s="1"/>
  <c r="AQ73" i="1"/>
  <c r="O141" i="1" s="1"/>
  <c r="AQ70" i="1"/>
  <c r="O136" i="1" s="1"/>
  <c r="AQ67" i="1"/>
  <c r="O131" i="1" s="1"/>
  <c r="AQ64" i="1"/>
  <c r="O126" i="1" s="1"/>
  <c r="AQ61" i="1"/>
  <c r="O121" i="1" s="1"/>
  <c r="AQ58" i="1"/>
  <c r="O116" i="1" s="1"/>
  <c r="AQ55" i="1"/>
  <c r="O111" i="1" s="1"/>
  <c r="AQ52" i="1"/>
  <c r="O106" i="1" s="1"/>
  <c r="AQ49" i="1"/>
  <c r="O101" i="1" s="1"/>
  <c r="AQ43" i="1"/>
  <c r="O91" i="1" s="1"/>
  <c r="AQ46" i="1"/>
  <c r="O96" i="1" s="1"/>
  <c r="AQ40" i="1"/>
  <c r="O86" i="1" s="1"/>
  <c r="AQ37" i="1"/>
  <c r="O81" i="1" s="1"/>
  <c r="AQ34" i="1"/>
  <c r="O76" i="1" s="1"/>
  <c r="AQ31" i="1"/>
  <c r="O71" i="1" s="1"/>
  <c r="G157" i="1" l="1"/>
  <c r="AM171" i="1"/>
  <c r="AM166" i="1"/>
  <c r="C45" i="1"/>
  <c r="C40" i="1"/>
  <c r="G45" i="1" s="1"/>
  <c r="G57" i="1"/>
  <c r="K65" i="1"/>
  <c r="K70" i="1"/>
  <c r="G62" i="1"/>
  <c r="K75" i="1"/>
  <c r="G67" i="1"/>
  <c r="K80" i="1"/>
  <c r="G72" i="1"/>
  <c r="K85" i="1"/>
  <c r="G77" i="1"/>
  <c r="K90" i="1"/>
  <c r="G82" i="1"/>
  <c r="K95" i="1"/>
  <c r="G87" i="1"/>
  <c r="K100" i="1"/>
  <c r="G92" i="1"/>
  <c r="K105" i="1"/>
  <c r="G97" i="1"/>
  <c r="K110" i="1"/>
  <c r="G102" i="1"/>
  <c r="K115" i="1"/>
  <c r="G107" i="1"/>
  <c r="K120" i="1"/>
  <c r="G112" i="1"/>
  <c r="K125" i="1"/>
  <c r="G117" i="1"/>
  <c r="K130" i="1"/>
  <c r="G122" i="1"/>
  <c r="K135" i="1"/>
  <c r="G127" i="1"/>
  <c r="K140" i="1"/>
  <c r="G132" i="1"/>
  <c r="K145" i="1"/>
  <c r="G137" i="1"/>
  <c r="K150" i="1"/>
  <c r="G142" i="1"/>
  <c r="K155" i="1"/>
  <c r="G147" i="1"/>
  <c r="K160" i="1"/>
  <c r="G152" i="1"/>
  <c r="K165" i="1"/>
  <c r="K167" i="1" s="1"/>
  <c r="G162" i="1"/>
  <c r="C42" i="1"/>
  <c r="C52" i="1"/>
  <c r="C57" i="1"/>
  <c r="C62" i="1"/>
  <c r="C67" i="1"/>
  <c r="C72" i="1"/>
  <c r="C77" i="1"/>
  <c r="C82" i="1"/>
  <c r="C87" i="1"/>
  <c r="C92" i="1"/>
  <c r="C97" i="1"/>
  <c r="C102" i="1"/>
  <c r="C107" i="1"/>
  <c r="C112" i="1"/>
  <c r="C117" i="1"/>
  <c r="C122" i="1"/>
  <c r="C127" i="1"/>
  <c r="C132" i="1"/>
  <c r="C137" i="1"/>
  <c r="C142" i="1"/>
  <c r="C147" i="1"/>
  <c r="C152" i="1"/>
  <c r="C157" i="1"/>
  <c r="C162" i="1"/>
  <c r="O170" i="1" l="1"/>
  <c r="O172" i="1" s="1"/>
  <c r="K162" i="1"/>
  <c r="O165" i="1"/>
  <c r="K157" i="1"/>
  <c r="O160" i="1"/>
  <c r="K152" i="1"/>
  <c r="O155" i="1"/>
  <c r="K147" i="1"/>
  <c r="O150" i="1"/>
  <c r="K142" i="1"/>
  <c r="O145" i="1"/>
  <c r="K137" i="1"/>
  <c r="O140" i="1"/>
  <c r="K132" i="1"/>
  <c r="O135" i="1"/>
  <c r="K127" i="1"/>
  <c r="O130" i="1"/>
  <c r="K122" i="1"/>
  <c r="O125" i="1"/>
  <c r="K117" i="1"/>
  <c r="O120" i="1"/>
  <c r="K112" i="1"/>
  <c r="O115" i="1"/>
  <c r="K107" i="1"/>
  <c r="O110" i="1"/>
  <c r="K102" i="1"/>
  <c r="O105" i="1"/>
  <c r="K97" i="1"/>
  <c r="O100" i="1"/>
  <c r="K92" i="1"/>
  <c r="O95" i="1"/>
  <c r="K87" i="1"/>
  <c r="O90" i="1"/>
  <c r="K82" i="1"/>
  <c r="O85" i="1"/>
  <c r="K77" i="1"/>
  <c r="O80" i="1"/>
  <c r="K72" i="1"/>
  <c r="K67" i="1"/>
  <c r="O75" i="1"/>
  <c r="G47" i="1"/>
  <c r="G50" i="1"/>
  <c r="C47" i="1"/>
  <c r="K60" i="1" l="1"/>
  <c r="G52" i="1"/>
  <c r="K55" i="1"/>
  <c r="S85" i="1"/>
  <c r="O77" i="1"/>
  <c r="S90" i="1"/>
  <c r="O82" i="1"/>
  <c r="S95" i="1"/>
  <c r="O87" i="1"/>
  <c r="S100" i="1"/>
  <c r="O92" i="1"/>
  <c r="S105" i="1"/>
  <c r="O97" i="1"/>
  <c r="S110" i="1"/>
  <c r="O102" i="1"/>
  <c r="S115" i="1"/>
  <c r="O107" i="1"/>
  <c r="S120" i="1"/>
  <c r="O112" i="1"/>
  <c r="S125" i="1"/>
  <c r="O117" i="1"/>
  <c r="S130" i="1"/>
  <c r="O122" i="1"/>
  <c r="S135" i="1"/>
  <c r="O127" i="1"/>
  <c r="S140" i="1"/>
  <c r="O132" i="1"/>
  <c r="S145" i="1"/>
  <c r="O137" i="1"/>
  <c r="S150" i="1"/>
  <c r="O142" i="1"/>
  <c r="S155" i="1"/>
  <c r="O147" i="1"/>
  <c r="S160" i="1"/>
  <c r="O152" i="1"/>
  <c r="S165" i="1"/>
  <c r="O157" i="1"/>
  <c r="S170" i="1"/>
  <c r="O162" i="1"/>
  <c r="S175" i="1"/>
  <c r="S177" i="1" s="1"/>
  <c r="O167" i="1"/>
  <c r="W180" i="1" l="1"/>
  <c r="W182" i="1" s="1"/>
  <c r="S172" i="1"/>
  <c r="W175" i="1"/>
  <c r="S167" i="1"/>
  <c r="W170" i="1"/>
  <c r="S162" i="1"/>
  <c r="W165" i="1"/>
  <c r="S157" i="1"/>
  <c r="W160" i="1"/>
  <c r="S152" i="1"/>
  <c r="W155" i="1"/>
  <c r="S147" i="1"/>
  <c r="W150" i="1"/>
  <c r="S142" i="1"/>
  <c r="W145" i="1"/>
  <c r="S137" i="1"/>
  <c r="W140" i="1"/>
  <c r="S132" i="1"/>
  <c r="W135" i="1"/>
  <c r="S127" i="1"/>
  <c r="W130" i="1"/>
  <c r="S122" i="1"/>
  <c r="W125" i="1"/>
  <c r="S117" i="1"/>
  <c r="W120" i="1"/>
  <c r="S112" i="1"/>
  <c r="W115" i="1"/>
  <c r="S107" i="1"/>
  <c r="W110" i="1"/>
  <c r="S102" i="1"/>
  <c r="W105" i="1"/>
  <c r="S97" i="1"/>
  <c r="W100" i="1"/>
  <c r="S92" i="1"/>
  <c r="W95" i="1"/>
  <c r="S87" i="1"/>
  <c r="O65" i="1"/>
  <c r="K57" i="1"/>
  <c r="O70" i="1"/>
  <c r="K62" i="1"/>
  <c r="S80" i="1" l="1"/>
  <c r="O72" i="1"/>
  <c r="S75" i="1"/>
  <c r="O67" i="1"/>
  <c r="AA105" i="1"/>
  <c r="W97" i="1"/>
  <c r="AA110" i="1"/>
  <c r="W102" i="1"/>
  <c r="AA115" i="1"/>
  <c r="W107" i="1"/>
  <c r="AA120" i="1"/>
  <c r="W112" i="1"/>
  <c r="AA125" i="1"/>
  <c r="W117" i="1"/>
  <c r="AA130" i="1"/>
  <c r="W122" i="1"/>
  <c r="AA135" i="1"/>
  <c r="W127" i="1"/>
  <c r="AA140" i="1"/>
  <c r="W132" i="1"/>
  <c r="AA145" i="1"/>
  <c r="W137" i="1"/>
  <c r="AA150" i="1"/>
  <c r="W142" i="1"/>
  <c r="AA155" i="1"/>
  <c r="W147" i="1"/>
  <c r="AA160" i="1"/>
  <c r="W152" i="1"/>
  <c r="AA165" i="1"/>
  <c r="W157" i="1"/>
  <c r="AA170" i="1"/>
  <c r="W162" i="1"/>
  <c r="AA175" i="1"/>
  <c r="W167" i="1"/>
  <c r="AA180" i="1"/>
  <c r="W172" i="1"/>
  <c r="AA185" i="1"/>
  <c r="AA187" i="1" s="1"/>
  <c r="W177" i="1"/>
  <c r="AE190" i="1" l="1"/>
  <c r="AE192" i="1" s="1"/>
  <c r="AA182" i="1"/>
  <c r="AE185" i="1"/>
  <c r="AA177" i="1"/>
  <c r="AE180" i="1"/>
  <c r="AA172" i="1"/>
  <c r="AE175" i="1"/>
  <c r="AA167" i="1"/>
  <c r="AE170" i="1"/>
  <c r="AA162" i="1"/>
  <c r="AE165" i="1"/>
  <c r="AA157" i="1"/>
  <c r="AE160" i="1"/>
  <c r="AA152" i="1"/>
  <c r="AE155" i="1"/>
  <c r="AA147" i="1"/>
  <c r="AE150" i="1"/>
  <c r="AA142" i="1"/>
  <c r="AE145" i="1"/>
  <c r="AA137" i="1"/>
  <c r="AE140" i="1"/>
  <c r="AA132" i="1"/>
  <c r="AE135" i="1"/>
  <c r="AA127" i="1"/>
  <c r="AE130" i="1"/>
  <c r="AA122" i="1"/>
  <c r="AE125" i="1"/>
  <c r="AA117" i="1"/>
  <c r="AE120" i="1"/>
  <c r="AA112" i="1"/>
  <c r="AE115" i="1"/>
  <c r="AA107" i="1"/>
  <c r="W85" i="1"/>
  <c r="S77" i="1"/>
  <c r="W90" i="1"/>
  <c r="S82" i="1"/>
  <c r="AA100" i="1" l="1"/>
  <c r="W92" i="1"/>
  <c r="AA95" i="1"/>
  <c r="W87" i="1"/>
  <c r="AI125" i="1"/>
  <c r="AE117" i="1"/>
  <c r="AI130" i="1"/>
  <c r="AE122" i="1"/>
  <c r="AI135" i="1"/>
  <c r="AE127" i="1"/>
  <c r="AI140" i="1"/>
  <c r="AE132" i="1"/>
  <c r="AI145" i="1"/>
  <c r="AE137" i="1"/>
  <c r="AI150" i="1"/>
  <c r="AE142" i="1"/>
  <c r="AI155" i="1"/>
  <c r="AE147" i="1"/>
  <c r="AI160" i="1"/>
  <c r="AE152" i="1"/>
  <c r="AI165" i="1"/>
  <c r="AE157" i="1"/>
  <c r="AI170" i="1"/>
  <c r="AE162" i="1"/>
  <c r="AI175" i="1"/>
  <c r="AE167" i="1"/>
  <c r="AI180" i="1"/>
  <c r="AE172" i="1"/>
  <c r="AI185" i="1"/>
  <c r="AE177" i="1"/>
  <c r="AI190" i="1"/>
  <c r="AE182" i="1"/>
  <c r="AI195" i="1"/>
  <c r="AI197" i="1" s="1"/>
  <c r="AE187" i="1"/>
  <c r="AM200" i="1" l="1"/>
  <c r="AM202" i="1" s="1"/>
  <c r="AI192" i="1"/>
  <c r="AM195" i="1"/>
  <c r="AI187" i="1"/>
  <c r="AM190" i="1"/>
  <c r="AI182" i="1"/>
  <c r="AM185" i="1"/>
  <c r="AI177" i="1"/>
  <c r="AM180" i="1"/>
  <c r="AI172" i="1"/>
  <c r="AM175" i="1"/>
  <c r="AI167" i="1"/>
  <c r="AM170" i="1"/>
  <c r="AI162" i="1"/>
  <c r="AM165" i="1"/>
  <c r="AI157" i="1"/>
  <c r="AM160" i="1"/>
  <c r="AI152" i="1"/>
  <c r="AM155" i="1"/>
  <c r="AI147" i="1"/>
  <c r="AM150" i="1"/>
  <c r="AI142" i="1"/>
  <c r="AM145" i="1"/>
  <c r="AI137" i="1"/>
  <c r="AM140" i="1"/>
  <c r="AI132" i="1"/>
  <c r="AM135" i="1"/>
  <c r="AI127" i="1"/>
  <c r="AE105" i="1"/>
  <c r="AA97" i="1"/>
  <c r="AE110" i="1"/>
  <c r="AA102" i="1"/>
  <c r="AI120" i="1" l="1"/>
  <c r="AE112" i="1"/>
  <c r="AI115" i="1"/>
  <c r="AE107" i="1"/>
  <c r="AQ145" i="1"/>
  <c r="AM137" i="1"/>
  <c r="AQ150" i="1"/>
  <c r="AM142" i="1"/>
  <c r="AQ155" i="1"/>
  <c r="AM147" i="1"/>
  <c r="AQ160" i="1"/>
  <c r="AM152" i="1"/>
  <c r="AQ165" i="1"/>
  <c r="AM157" i="1"/>
  <c r="AQ170" i="1"/>
  <c r="AM162" i="1"/>
  <c r="AQ175" i="1"/>
  <c r="AM167" i="1"/>
  <c r="AQ180" i="1"/>
  <c r="AM172" i="1"/>
  <c r="AQ185" i="1"/>
  <c r="AM177" i="1"/>
  <c r="AQ190" i="1"/>
  <c r="AM182" i="1"/>
  <c r="AQ195" i="1"/>
  <c r="AM187" i="1"/>
  <c r="AQ200" i="1"/>
  <c r="AM192" i="1"/>
  <c r="AQ205" i="1"/>
  <c r="AQ207" i="1" s="1"/>
  <c r="AM197" i="1"/>
  <c r="AU210" i="1" l="1"/>
  <c r="AU212" i="1" s="1"/>
  <c r="AQ202" i="1"/>
  <c r="AU205" i="1"/>
  <c r="AQ197" i="1"/>
  <c r="AU200" i="1"/>
  <c r="AQ192" i="1"/>
  <c r="AU195" i="1"/>
  <c r="AQ187" i="1"/>
  <c r="AU190" i="1"/>
  <c r="AQ182" i="1"/>
  <c r="AU185" i="1"/>
  <c r="AQ177" i="1"/>
  <c r="AU180" i="1"/>
  <c r="AQ172" i="1"/>
  <c r="AU175" i="1"/>
  <c r="AQ167" i="1"/>
  <c r="AU170" i="1"/>
  <c r="AQ162" i="1"/>
  <c r="AU165" i="1"/>
  <c r="AQ157" i="1"/>
  <c r="AU160" i="1"/>
  <c r="AQ152" i="1"/>
  <c r="AU155" i="1"/>
  <c r="AQ147" i="1"/>
  <c r="AM125" i="1"/>
  <c r="AI117" i="1"/>
  <c r="AM130" i="1"/>
  <c r="AI122" i="1"/>
  <c r="AQ140" i="1" l="1"/>
  <c r="AM132" i="1"/>
  <c r="AQ135" i="1"/>
  <c r="AM127" i="1"/>
  <c r="AY165" i="1"/>
  <c r="AU157" i="1"/>
  <c r="AY170" i="1"/>
  <c r="AU162" i="1"/>
  <c r="AY175" i="1"/>
  <c r="AU167" i="1"/>
  <c r="AY180" i="1"/>
  <c r="AU172" i="1"/>
  <c r="AY185" i="1"/>
  <c r="AU177" i="1"/>
  <c r="AY190" i="1"/>
  <c r="AU182" i="1"/>
  <c r="AY195" i="1"/>
  <c r="AU187" i="1"/>
  <c r="AY200" i="1"/>
  <c r="AU192" i="1"/>
  <c r="AY205" i="1"/>
  <c r="AU197" i="1"/>
  <c r="AY210" i="1"/>
  <c r="AU202" i="1"/>
  <c r="AY215" i="1"/>
  <c r="AY217" i="1" s="1"/>
  <c r="AU207" i="1"/>
  <c r="BC220" i="1" l="1"/>
  <c r="BC222" i="1" s="1"/>
  <c r="AY212" i="1"/>
  <c r="BC215" i="1"/>
  <c r="AY207" i="1"/>
  <c r="BC210" i="1"/>
  <c r="AY202" i="1"/>
  <c r="BC205" i="1"/>
  <c r="AY197" i="1"/>
  <c r="BC200" i="1"/>
  <c r="AY192" i="1"/>
  <c r="BC195" i="1"/>
  <c r="AY187" i="1"/>
  <c r="BC190" i="1"/>
  <c r="AY182" i="1"/>
  <c r="BC185" i="1"/>
  <c r="AY177" i="1"/>
  <c r="BC180" i="1"/>
  <c r="AY172" i="1"/>
  <c r="BC175" i="1"/>
  <c r="AY167" i="1"/>
  <c r="AU145" i="1"/>
  <c r="AQ137" i="1"/>
  <c r="AU150" i="1"/>
  <c r="AQ142" i="1"/>
  <c r="AY160" i="1" l="1"/>
  <c r="AU152" i="1"/>
  <c r="AY155" i="1"/>
  <c r="AU147" i="1"/>
  <c r="BG185" i="1"/>
  <c r="BC177" i="1"/>
  <c r="BG190" i="1"/>
  <c r="BC182" i="1"/>
  <c r="BG195" i="1"/>
  <c r="BC187" i="1"/>
  <c r="BG200" i="1"/>
  <c r="BC192" i="1"/>
  <c r="BG205" i="1"/>
  <c r="BC197" i="1"/>
  <c r="BG210" i="1"/>
  <c r="BC202" i="1"/>
  <c r="BG215" i="1"/>
  <c r="BC207" i="1"/>
  <c r="BG220" i="1"/>
  <c r="BC212" i="1"/>
  <c r="BG225" i="1"/>
  <c r="BG227" i="1" s="1"/>
  <c r="BC217" i="1"/>
  <c r="BK230" i="1" l="1"/>
  <c r="BK232" i="1" s="1"/>
  <c r="BG222" i="1"/>
  <c r="BK225" i="1"/>
  <c r="BG217" i="1"/>
  <c r="BK220" i="1"/>
  <c r="BG212" i="1"/>
  <c r="BK215" i="1"/>
  <c r="BG207" i="1"/>
  <c r="BK210" i="1"/>
  <c r="BG202" i="1"/>
  <c r="BK205" i="1"/>
  <c r="BG197" i="1"/>
  <c r="BK200" i="1"/>
  <c r="BG192" i="1"/>
  <c r="BK195" i="1"/>
  <c r="BG187" i="1"/>
  <c r="BC165" i="1"/>
  <c r="AY157" i="1"/>
  <c r="BC170" i="1"/>
  <c r="AY162" i="1"/>
  <c r="BG180" i="1" l="1"/>
  <c r="BC172" i="1"/>
  <c r="BG175" i="1"/>
  <c r="BC167" i="1"/>
  <c r="BO205" i="1"/>
  <c r="BK197" i="1"/>
  <c r="BO210" i="1"/>
  <c r="BK202" i="1"/>
  <c r="BO215" i="1"/>
  <c r="BK207" i="1"/>
  <c r="BO220" i="1"/>
  <c r="BK212" i="1"/>
  <c r="BO225" i="1"/>
  <c r="BK217" i="1"/>
  <c r="BO230" i="1"/>
  <c r="BK222" i="1"/>
  <c r="BO235" i="1"/>
  <c r="BO237" i="1" s="1"/>
  <c r="BK227" i="1"/>
  <c r="BS240" i="1" l="1"/>
  <c r="BS242" i="1" s="1"/>
  <c r="BO232" i="1"/>
  <c r="BS235" i="1"/>
  <c r="BO227" i="1"/>
  <c r="BS230" i="1"/>
  <c r="BO222" i="1"/>
  <c r="BS225" i="1"/>
  <c r="BO217" i="1"/>
  <c r="BS220" i="1"/>
  <c r="BO212" i="1"/>
  <c r="BS215" i="1"/>
  <c r="BO207" i="1"/>
  <c r="BK185" i="1"/>
  <c r="BG177" i="1"/>
  <c r="BK190" i="1"/>
  <c r="BG182" i="1"/>
  <c r="BO200" i="1" l="1"/>
  <c r="BK192" i="1"/>
  <c r="BO195" i="1"/>
  <c r="BK187" i="1"/>
  <c r="BW225" i="1"/>
  <c r="BS217" i="1"/>
  <c r="BW230" i="1"/>
  <c r="BS222" i="1"/>
  <c r="BS227" i="1"/>
  <c r="BW235" i="1"/>
  <c r="BW240" i="1"/>
  <c r="BS232" i="1"/>
  <c r="BW245" i="1"/>
  <c r="BW247" i="1" s="1"/>
  <c r="BS237" i="1"/>
  <c r="CA250" i="1" l="1"/>
  <c r="CA252" i="1" s="1"/>
  <c r="BW242" i="1"/>
  <c r="CA245" i="1"/>
  <c r="BW237" i="1"/>
  <c r="CA240" i="1"/>
  <c r="BW232" i="1"/>
  <c r="CA235" i="1"/>
  <c r="BW227" i="1"/>
  <c r="BS205" i="1"/>
  <c r="BO197" i="1"/>
  <c r="BS210" i="1"/>
  <c r="BO202" i="1"/>
  <c r="BW220" i="1" l="1"/>
  <c r="BS212" i="1"/>
  <c r="BW215" i="1"/>
  <c r="BS207" i="1"/>
  <c r="CE245" i="1"/>
  <c r="CA237" i="1"/>
  <c r="CE250" i="1"/>
  <c r="CA242" i="1"/>
  <c r="CE255" i="1"/>
  <c r="CE257" i="1" s="1"/>
  <c r="CA247" i="1"/>
  <c r="CI260" i="1" l="1"/>
  <c r="CI262" i="1" s="1"/>
  <c r="CE252" i="1"/>
  <c r="CI255" i="1"/>
  <c r="CE247" i="1"/>
  <c r="CA225" i="1"/>
  <c r="BW217" i="1"/>
  <c r="CA230" i="1"/>
  <c r="BW222" i="1"/>
  <c r="CE240" i="1" l="1"/>
  <c r="CA232" i="1"/>
  <c r="CE235" i="1"/>
  <c r="CA227" i="1"/>
  <c r="CM265" i="1"/>
  <c r="CM267" i="1" s="1"/>
  <c r="CI257" i="1"/>
  <c r="CI245" i="1" l="1"/>
  <c r="CE237" i="1"/>
  <c r="CI250" i="1"/>
  <c r="CE242" i="1"/>
  <c r="CM260" i="1" l="1"/>
  <c r="CI252" i="1"/>
  <c r="CM255" i="1"/>
  <c r="CI247" i="1"/>
  <c r="CQ265" i="1" l="1"/>
  <c r="CM257" i="1"/>
  <c r="CQ270" i="1"/>
  <c r="CQ272" i="1" s="1"/>
  <c r="CM262" i="1"/>
  <c r="CU270" i="1" l="1"/>
  <c r="CU272" i="1" s="1"/>
  <c r="H13" i="1" s="1"/>
  <c r="CQ267" i="1"/>
</calcChain>
</file>

<file path=xl/sharedStrings.xml><?xml version="1.0" encoding="utf-8"?>
<sst xmlns="http://schemas.openxmlformats.org/spreadsheetml/2006/main" count="1749" uniqueCount="977">
  <si>
    <t>Input Parameters</t>
  </si>
  <si>
    <t>Current Index (s):</t>
  </si>
  <si>
    <t xml:space="preserve">Options Type: </t>
  </si>
  <si>
    <t>put</t>
  </si>
  <si>
    <t>Strike Price</t>
  </si>
  <si>
    <t>Call</t>
  </si>
  <si>
    <t>Put</t>
  </si>
  <si>
    <t>Time to maturity (yrs):</t>
  </si>
  <si>
    <t>risk-free rate</t>
  </si>
  <si>
    <t>Dividend yield</t>
  </si>
  <si>
    <t>Volatility</t>
  </si>
  <si>
    <t>Euro index:</t>
  </si>
  <si>
    <t>Number of steps(n)</t>
  </si>
  <si>
    <t>Amer index:</t>
  </si>
  <si>
    <t>Binomial Parameters</t>
  </si>
  <si>
    <t>time per step</t>
  </si>
  <si>
    <t>Options Price</t>
  </si>
  <si>
    <t>up factor</t>
  </si>
  <si>
    <t>down factor</t>
  </si>
  <si>
    <t>growth factor</t>
  </si>
  <si>
    <t>risk- neutral prob</t>
  </si>
  <si>
    <t>1-p</t>
  </si>
  <si>
    <t>Discount factor per step</t>
  </si>
  <si>
    <t>American Options - 25 step</t>
  </si>
  <si>
    <t>Index Price tree</t>
  </si>
  <si>
    <t>steps:3</t>
  </si>
  <si>
    <t>Time = 0</t>
  </si>
  <si>
    <t>Time = 1</t>
  </si>
  <si>
    <t>Time =2</t>
  </si>
  <si>
    <t>Time = 3</t>
  </si>
  <si>
    <t>Time = 4</t>
  </si>
  <si>
    <t>Time = 5</t>
  </si>
  <si>
    <t>Time = 6</t>
  </si>
  <si>
    <t>Time = 7</t>
  </si>
  <si>
    <t>Time = 8</t>
  </si>
  <si>
    <t>Time = 9</t>
  </si>
  <si>
    <t>Time = 10</t>
  </si>
  <si>
    <t>Time = 11</t>
  </si>
  <si>
    <t>Time = 12</t>
  </si>
  <si>
    <t>Time = 13</t>
  </si>
  <si>
    <t>Time = 14</t>
  </si>
  <si>
    <t>Time = 15</t>
  </si>
  <si>
    <t>Time = 16</t>
  </si>
  <si>
    <t>Time = 17</t>
  </si>
  <si>
    <t>Time = 18</t>
  </si>
  <si>
    <t>Time =19</t>
  </si>
  <si>
    <t>Time = 20</t>
  </si>
  <si>
    <t>Time = 21</t>
  </si>
  <si>
    <t>Time = 22</t>
  </si>
  <si>
    <t>Time = 23</t>
  </si>
  <si>
    <t>Time = 24</t>
  </si>
  <si>
    <t>Time = 25</t>
  </si>
  <si>
    <t>Payoff at time 25</t>
  </si>
  <si>
    <t>S00</t>
  </si>
  <si>
    <t>S11:</t>
  </si>
  <si>
    <t>S22</t>
  </si>
  <si>
    <t>S33</t>
  </si>
  <si>
    <t>S44</t>
  </si>
  <si>
    <t>S55</t>
  </si>
  <si>
    <t>S66</t>
  </si>
  <si>
    <t>S77</t>
  </si>
  <si>
    <t>S88</t>
  </si>
  <si>
    <t>S99</t>
  </si>
  <si>
    <t>S1010</t>
  </si>
  <si>
    <t>S1111</t>
  </si>
  <si>
    <t>S1212</t>
  </si>
  <si>
    <t>S1313</t>
  </si>
  <si>
    <t>S1414</t>
  </si>
  <si>
    <t>S1515</t>
  </si>
  <si>
    <t>S1616</t>
  </si>
  <si>
    <t>S1717</t>
  </si>
  <si>
    <t>S1818</t>
  </si>
  <si>
    <t>S1919</t>
  </si>
  <si>
    <t>S2020</t>
  </si>
  <si>
    <t>S2121</t>
  </si>
  <si>
    <t>S2222</t>
  </si>
  <si>
    <t>S2323</t>
  </si>
  <si>
    <t>S2424</t>
  </si>
  <si>
    <t>S2025</t>
  </si>
  <si>
    <t>Payoff(S2001)</t>
  </si>
  <si>
    <t>S10:</t>
  </si>
  <si>
    <t>S21</t>
  </si>
  <si>
    <t>S32</t>
  </si>
  <si>
    <t>S43</t>
  </si>
  <si>
    <t>S54</t>
  </si>
  <si>
    <t>S65</t>
  </si>
  <si>
    <t>S76</t>
  </si>
  <si>
    <t>S87</t>
  </si>
  <si>
    <t>S98</t>
  </si>
  <si>
    <t>S109</t>
  </si>
  <si>
    <t>S1110</t>
  </si>
  <si>
    <t>S1211</t>
  </si>
  <si>
    <t>S1312</t>
  </si>
  <si>
    <t>S1413</t>
  </si>
  <si>
    <t>S1514</t>
  </si>
  <si>
    <t>S1615</t>
  </si>
  <si>
    <t>S1716</t>
  </si>
  <si>
    <t>S1817</t>
  </si>
  <si>
    <t>S1918</t>
  </si>
  <si>
    <t>S2019</t>
  </si>
  <si>
    <t>S2021</t>
  </si>
  <si>
    <t>S2022</t>
  </si>
  <si>
    <t>S2023</t>
  </si>
  <si>
    <t>S2024</t>
  </si>
  <si>
    <t>Payoff (S2002)</t>
  </si>
  <si>
    <t>S20</t>
  </si>
  <si>
    <t>S31</t>
  </si>
  <si>
    <t>S42</t>
  </si>
  <si>
    <t>S53</t>
  </si>
  <si>
    <t>S64</t>
  </si>
  <si>
    <t>S75</t>
  </si>
  <si>
    <t>S86</t>
  </si>
  <si>
    <t>S97</t>
  </si>
  <si>
    <t>S108</t>
  </si>
  <si>
    <t>S1109</t>
  </si>
  <si>
    <t>S1210</t>
  </si>
  <si>
    <t>S1311</t>
  </si>
  <si>
    <t>S1412</t>
  </si>
  <si>
    <t>S1513</t>
  </si>
  <si>
    <t>S1614</t>
  </si>
  <si>
    <t>S1715</t>
  </si>
  <si>
    <t>S1816</t>
  </si>
  <si>
    <t>S1917</t>
  </si>
  <si>
    <t>S2018</t>
  </si>
  <si>
    <t>Payoff (S2003)</t>
  </si>
  <si>
    <t>Backwards Induction</t>
  </si>
  <si>
    <t>S30</t>
  </si>
  <si>
    <t>S41</t>
  </si>
  <si>
    <t>S52</t>
  </si>
  <si>
    <t>S63</t>
  </si>
  <si>
    <t>S74</t>
  </si>
  <si>
    <t>S85</t>
  </si>
  <si>
    <t>S96</t>
  </si>
  <si>
    <t>S107</t>
  </si>
  <si>
    <t>S1108</t>
  </si>
  <si>
    <t>S1209</t>
  </si>
  <si>
    <t>S1310</t>
  </si>
  <si>
    <t>S1411</t>
  </si>
  <si>
    <t>S1512</t>
  </si>
  <si>
    <t>S1613</t>
  </si>
  <si>
    <t>S1714</t>
  </si>
  <si>
    <t>S1815</t>
  </si>
  <si>
    <t>S1916</t>
  </si>
  <si>
    <t>S2017</t>
  </si>
  <si>
    <t>Payoff (S2004)</t>
  </si>
  <si>
    <t>Step 25 - 24</t>
  </si>
  <si>
    <t>At time 24 - node S2424</t>
  </si>
  <si>
    <t>S40</t>
  </si>
  <si>
    <t>S51</t>
  </si>
  <si>
    <t>S62</t>
  </si>
  <si>
    <t>S73</t>
  </si>
  <si>
    <t>S84</t>
  </si>
  <si>
    <t>S95</t>
  </si>
  <si>
    <t>S106</t>
  </si>
  <si>
    <t>S1107</t>
  </si>
  <si>
    <t>S1208</t>
  </si>
  <si>
    <t>S1309</t>
  </si>
  <si>
    <t>S1410</t>
  </si>
  <si>
    <t>S1511</t>
  </si>
  <si>
    <t>S1612</t>
  </si>
  <si>
    <t>S1713</t>
  </si>
  <si>
    <t>S1814</t>
  </si>
  <si>
    <t>S1915</t>
  </si>
  <si>
    <t>S2016</t>
  </si>
  <si>
    <t>Payoff (S2005)</t>
  </si>
  <si>
    <t>Hold 2424:</t>
  </si>
  <si>
    <t>Excercise 2424:</t>
  </si>
  <si>
    <t>V2424:</t>
  </si>
  <si>
    <t>Step 24 - 23</t>
  </si>
  <si>
    <t>S50</t>
  </si>
  <si>
    <t>S61</t>
  </si>
  <si>
    <t>S72</t>
  </si>
  <si>
    <t>S83</t>
  </si>
  <si>
    <t>S94</t>
  </si>
  <si>
    <t>S105</t>
  </si>
  <si>
    <t>S1106</t>
  </si>
  <si>
    <t>S1207</t>
  </si>
  <si>
    <t>S1308</t>
  </si>
  <si>
    <t>S1409</t>
  </si>
  <si>
    <t>S1510</t>
  </si>
  <si>
    <t>S1611</t>
  </si>
  <si>
    <t>S1712</t>
  </si>
  <si>
    <t>S1813</t>
  </si>
  <si>
    <t>S1914</t>
  </si>
  <si>
    <t>S2015</t>
  </si>
  <si>
    <t>Payoff (S2006)</t>
  </si>
  <si>
    <t>At time 24 - node S2423</t>
  </si>
  <si>
    <t xml:space="preserve">At time 23- node S2323 </t>
  </si>
  <si>
    <t>Hold 2323</t>
  </si>
  <si>
    <t>S60</t>
  </si>
  <si>
    <t>S71</t>
  </si>
  <si>
    <t>S82</t>
  </si>
  <si>
    <t>S93</t>
  </si>
  <si>
    <t>S104</t>
  </si>
  <si>
    <t>S1105</t>
  </si>
  <si>
    <t>S1206</t>
  </si>
  <si>
    <t>S1307</t>
  </si>
  <si>
    <t>S1408</t>
  </si>
  <si>
    <t>S1509</t>
  </si>
  <si>
    <t>S1610</t>
  </si>
  <si>
    <t>S1711</t>
  </si>
  <si>
    <t>S1812</t>
  </si>
  <si>
    <t>S1913</t>
  </si>
  <si>
    <t>S2014</t>
  </si>
  <si>
    <t>Payoff (S2007)</t>
  </si>
  <si>
    <t>Excercise 2323</t>
  </si>
  <si>
    <t>V2323</t>
  </si>
  <si>
    <t>S70</t>
  </si>
  <si>
    <t>S81</t>
  </si>
  <si>
    <t>S92</t>
  </si>
  <si>
    <t>S103</t>
  </si>
  <si>
    <t>S1104</t>
  </si>
  <si>
    <t>S1205</t>
  </si>
  <si>
    <t>S1306</t>
  </si>
  <si>
    <t>S1407</t>
  </si>
  <si>
    <t>S1508</t>
  </si>
  <si>
    <t>S1609</t>
  </si>
  <si>
    <t>S1710</t>
  </si>
  <si>
    <t>S1811</t>
  </si>
  <si>
    <t>S1912</t>
  </si>
  <si>
    <t>S2013</t>
  </si>
  <si>
    <t>Payoff (S2008)</t>
  </si>
  <si>
    <t>At time 24 - node S2422</t>
  </si>
  <si>
    <t>At time 23- node S2322</t>
  </si>
  <si>
    <t>Hold 2322</t>
  </si>
  <si>
    <t>Excercise 2322</t>
  </si>
  <si>
    <t>S80</t>
  </si>
  <si>
    <t>S91</t>
  </si>
  <si>
    <t>S102</t>
  </si>
  <si>
    <t>S1103</t>
  </si>
  <si>
    <t>S1204</t>
  </si>
  <si>
    <t>S1305</t>
  </si>
  <si>
    <t>S1406</t>
  </si>
  <si>
    <t>S1507</t>
  </si>
  <si>
    <t>S1608</t>
  </si>
  <si>
    <t>S1709</t>
  </si>
  <si>
    <t>S1810</t>
  </si>
  <si>
    <t>S1911</t>
  </si>
  <si>
    <t>S2012</t>
  </si>
  <si>
    <t>Payoff (S2009)</t>
  </si>
  <si>
    <t>V2322</t>
  </si>
  <si>
    <t>Step 23-22</t>
  </si>
  <si>
    <t>At time 24 - node S2421</t>
  </si>
  <si>
    <t>At time 23- node S2321</t>
  </si>
  <si>
    <t>At time 22 - node S2222</t>
  </si>
  <si>
    <t>S90</t>
  </si>
  <si>
    <t>S101</t>
  </si>
  <si>
    <t>S1102</t>
  </si>
  <si>
    <t>S1203</t>
  </si>
  <si>
    <t>S1304</t>
  </si>
  <si>
    <t>S1405</t>
  </si>
  <si>
    <t>S1506</t>
  </si>
  <si>
    <t>S1607</t>
  </si>
  <si>
    <t>S1708</t>
  </si>
  <si>
    <t>S1809</t>
  </si>
  <si>
    <t>S1910</t>
  </si>
  <si>
    <t>S2011</t>
  </si>
  <si>
    <t>Payoff (S2010)</t>
  </si>
  <si>
    <t>Hold 2321</t>
  </si>
  <si>
    <t>Hold 2222</t>
  </si>
  <si>
    <t>Excercise 2321</t>
  </si>
  <si>
    <t>Excercise 2222</t>
  </si>
  <si>
    <t>V2321</t>
  </si>
  <si>
    <t>V2222</t>
  </si>
  <si>
    <t>S100</t>
  </si>
  <si>
    <t>S1101</t>
  </si>
  <si>
    <t>S1202</t>
  </si>
  <si>
    <t>S1303</t>
  </si>
  <si>
    <t>S1404</t>
  </si>
  <si>
    <t>S1505</t>
  </si>
  <si>
    <t>S1606</t>
  </si>
  <si>
    <t>S1707</t>
  </si>
  <si>
    <t>S1808</t>
  </si>
  <si>
    <t>S1909</t>
  </si>
  <si>
    <t>S2010</t>
  </si>
  <si>
    <t>Payoff (S2011)</t>
  </si>
  <si>
    <t>At time 23- node S2320</t>
  </si>
  <si>
    <t>At time 22 - node S2221</t>
  </si>
  <si>
    <t>Hold 2320</t>
  </si>
  <si>
    <t>Hold 2221</t>
  </si>
  <si>
    <t>S1100</t>
  </si>
  <si>
    <t>S1201</t>
  </si>
  <si>
    <t>S1302</t>
  </si>
  <si>
    <t>S1403</t>
  </si>
  <si>
    <t>S1504</t>
  </si>
  <si>
    <t>S1605</t>
  </si>
  <si>
    <t>S1706</t>
  </si>
  <si>
    <t>S1807</t>
  </si>
  <si>
    <t>S1908</t>
  </si>
  <si>
    <t>S2009</t>
  </si>
  <si>
    <t>Payoff (S2012)</t>
  </si>
  <si>
    <t>Excercise 2320</t>
  </si>
  <si>
    <t>Excercise 2221</t>
  </si>
  <si>
    <t>V2320</t>
  </si>
  <si>
    <t>Step 22-21</t>
  </si>
  <si>
    <t>S1200</t>
  </si>
  <si>
    <t>S1301</t>
  </si>
  <si>
    <t>S1402</t>
  </si>
  <si>
    <t>S1503</t>
  </si>
  <si>
    <t>S1604</t>
  </si>
  <si>
    <t>S1705</t>
  </si>
  <si>
    <t>S1806</t>
  </si>
  <si>
    <t>S1907</t>
  </si>
  <si>
    <t>S2008</t>
  </si>
  <si>
    <t>Payoff (S2013)</t>
  </si>
  <si>
    <t>At time 24 - node S2420</t>
  </si>
  <si>
    <t>At time 23- node S2319</t>
  </si>
  <si>
    <t>At time 21 -node S2121</t>
  </si>
  <si>
    <t>Hold 2319</t>
  </si>
  <si>
    <t>Hold 2220</t>
  </si>
  <si>
    <t>Hold</t>
  </si>
  <si>
    <t>Excercise 2319</t>
  </si>
  <si>
    <t>Excercise 2220</t>
  </si>
  <si>
    <t>Excercise</t>
  </si>
  <si>
    <t>S1300</t>
  </si>
  <si>
    <t>S1401</t>
  </si>
  <si>
    <t>S1502</t>
  </si>
  <si>
    <t>S1603</t>
  </si>
  <si>
    <t>S1704</t>
  </si>
  <si>
    <t>S1805</t>
  </si>
  <si>
    <t>S1906</t>
  </si>
  <si>
    <t>S2007</t>
  </si>
  <si>
    <t>Payoff (S2014)</t>
  </si>
  <si>
    <t>V2319</t>
  </si>
  <si>
    <t>V2220</t>
  </si>
  <si>
    <t>V 2121</t>
  </si>
  <si>
    <t>At time 24 - node S2419</t>
  </si>
  <si>
    <t>At time 23- node S2318</t>
  </si>
  <si>
    <t>At time 21 -node S2120</t>
  </si>
  <si>
    <t>S1400</t>
  </si>
  <si>
    <t>S1501</t>
  </si>
  <si>
    <t>S1602</t>
  </si>
  <si>
    <t>S1703</t>
  </si>
  <si>
    <t>S1804</t>
  </si>
  <si>
    <t>S1905</t>
  </si>
  <si>
    <t>S2006</t>
  </si>
  <si>
    <t>Payoff (S2015)</t>
  </si>
  <si>
    <t>Hold 2318</t>
  </si>
  <si>
    <t>Hold 2219</t>
  </si>
  <si>
    <t>Excercise 2318</t>
  </si>
  <si>
    <t>Excercise 2219</t>
  </si>
  <si>
    <t>V2318</t>
  </si>
  <si>
    <t>V2219</t>
  </si>
  <si>
    <t>V 2120</t>
  </si>
  <si>
    <t>Step 21 - 20</t>
  </si>
  <si>
    <t>S1500</t>
  </si>
  <si>
    <t>S1601</t>
  </si>
  <si>
    <t>S1702</t>
  </si>
  <si>
    <t>S1803</t>
  </si>
  <si>
    <t>S1904</t>
  </si>
  <si>
    <t>S2005</t>
  </si>
  <si>
    <t>Payoff (S2016)</t>
  </si>
  <si>
    <t>At time 24 - node S2418</t>
  </si>
  <si>
    <t>At time 23- node S2317</t>
  </si>
  <si>
    <t>At time 21 -node S2119</t>
  </si>
  <si>
    <t>At time 20 - node S2020</t>
  </si>
  <si>
    <t>Hold 2317</t>
  </si>
  <si>
    <t>Hold 2218</t>
  </si>
  <si>
    <t>S1600</t>
  </si>
  <si>
    <t>S1701</t>
  </si>
  <si>
    <t>S1802</t>
  </si>
  <si>
    <t>S1903</t>
  </si>
  <si>
    <t>S2004</t>
  </si>
  <si>
    <t>Payoff (S2017)</t>
  </si>
  <si>
    <t>Excercise 2317</t>
  </si>
  <si>
    <t>Excercise 2218</t>
  </si>
  <si>
    <t>V2317</t>
  </si>
  <si>
    <t>V2218</t>
  </si>
  <si>
    <t>V 2119</t>
  </si>
  <si>
    <t>V 2020</t>
  </si>
  <si>
    <t>S1700</t>
  </si>
  <si>
    <t>S1801</t>
  </si>
  <si>
    <t>S1902</t>
  </si>
  <si>
    <t>S2003</t>
  </si>
  <si>
    <t>Payoff (S2018)</t>
  </si>
  <si>
    <t>At time 24 - node S2417</t>
  </si>
  <si>
    <t>At time 23- node S2316</t>
  </si>
  <si>
    <t>At time 21 -node S2118</t>
  </si>
  <si>
    <t>At time 20 - node S2019</t>
  </si>
  <si>
    <t>Hold 2316</t>
  </si>
  <si>
    <t>Hold 2217</t>
  </si>
  <si>
    <t>Excercise 2316</t>
  </si>
  <si>
    <t>Excercise 2217</t>
  </si>
  <si>
    <t>S1800</t>
  </si>
  <si>
    <t>S1901</t>
  </si>
  <si>
    <t>S2002</t>
  </si>
  <si>
    <t>Payoff (S2019)</t>
  </si>
  <si>
    <t>V2316</t>
  </si>
  <si>
    <t>V2217</t>
  </si>
  <si>
    <t>V 2118</t>
  </si>
  <si>
    <t>V 2019</t>
  </si>
  <si>
    <t>Step 20-19</t>
  </si>
  <si>
    <t>At time 24 - node S2416</t>
  </si>
  <si>
    <t>At time 23- node S2315</t>
  </si>
  <si>
    <t>At time 21 -node S2117</t>
  </si>
  <si>
    <t>At time 20 - node S2018</t>
  </si>
  <si>
    <t>At time 19 -node S1919</t>
  </si>
  <si>
    <t>S1900</t>
  </si>
  <si>
    <t>S2001</t>
  </si>
  <si>
    <t>Payoff (S2020)</t>
  </si>
  <si>
    <t>Hold 2315</t>
  </si>
  <si>
    <t>Hold 2216</t>
  </si>
  <si>
    <t>Excercise 2315</t>
  </si>
  <si>
    <t>Excercise 2216</t>
  </si>
  <si>
    <t>V2315</t>
  </si>
  <si>
    <t>V2216</t>
  </si>
  <si>
    <t>V 2117</t>
  </si>
  <si>
    <t>V 2018</t>
  </si>
  <si>
    <t>V 1919</t>
  </si>
  <si>
    <t>S2000</t>
  </si>
  <si>
    <t>Payoff (S2021)</t>
  </si>
  <si>
    <t>At time 24 - node S2415</t>
  </si>
  <si>
    <t>At time 23- node S2314</t>
  </si>
  <si>
    <t>At time 20 - node S2017</t>
  </si>
  <si>
    <t>At time 19 -node S1918</t>
  </si>
  <si>
    <t>Hold 2314</t>
  </si>
  <si>
    <t>Hold 2215</t>
  </si>
  <si>
    <t>Payoff (S2022)</t>
  </si>
  <si>
    <t>Excercise 2314</t>
  </si>
  <si>
    <t>Excercise 2215</t>
  </si>
  <si>
    <t>V2314</t>
  </si>
  <si>
    <t>V2215</t>
  </si>
  <si>
    <t>V 2116</t>
  </si>
  <si>
    <t>V 2017</t>
  </si>
  <si>
    <t>V 1918</t>
  </si>
  <si>
    <t>Step 19 - 18</t>
  </si>
  <si>
    <t>Payoff (S2023)</t>
  </si>
  <si>
    <t>At time 24 - node S2414</t>
  </si>
  <si>
    <t>At time 23- node S2313</t>
  </si>
  <si>
    <t>At time 20 - node S2016</t>
  </si>
  <si>
    <t>At time 19 -node S1917</t>
  </si>
  <si>
    <t>At time 18 - node S1818</t>
  </si>
  <si>
    <t>Hold 2313</t>
  </si>
  <si>
    <t>Hold 2214</t>
  </si>
  <si>
    <t>Excercise 2313</t>
  </si>
  <si>
    <t>Excercise 2214</t>
  </si>
  <si>
    <t>Payoff (S2024)</t>
  </si>
  <si>
    <t>V2313</t>
  </si>
  <si>
    <t>V2214</t>
  </si>
  <si>
    <t>V 2115</t>
  </si>
  <si>
    <t>V 2016</t>
  </si>
  <si>
    <t>V 1917</t>
  </si>
  <si>
    <t>V 1818</t>
  </si>
  <si>
    <t>At time 24 - node S2413</t>
  </si>
  <si>
    <t>At time 23- node S2312</t>
  </si>
  <si>
    <t>At time 20 - node S2015</t>
  </si>
  <si>
    <t>At time 19 -node S1916</t>
  </si>
  <si>
    <t>At time 18 - node S1817</t>
  </si>
  <si>
    <t>Payoff (S2025)</t>
  </si>
  <si>
    <t>Hold 2312</t>
  </si>
  <si>
    <t>Hold 2213</t>
  </si>
  <si>
    <t>Excercise 2312</t>
  </si>
  <si>
    <t>Excercise 2213</t>
  </si>
  <si>
    <t>V2312</t>
  </si>
  <si>
    <t>V2213</t>
  </si>
  <si>
    <t>V 2114</t>
  </si>
  <si>
    <t>V 2015</t>
  </si>
  <si>
    <t>V 1916</t>
  </si>
  <si>
    <t>V 1817</t>
  </si>
  <si>
    <t>Step 18 - 17</t>
  </si>
  <si>
    <t>Payoff (S2026)</t>
  </si>
  <si>
    <t>At time 24 - node S2412</t>
  </si>
  <si>
    <t>At time 23- node S2311</t>
  </si>
  <si>
    <t>At time 20 - node S2014</t>
  </si>
  <si>
    <t>At time 19 -node S1915</t>
  </si>
  <si>
    <t>At time 18 - node S1816</t>
  </si>
  <si>
    <t>At time 17 - node S1717</t>
  </si>
  <si>
    <t>Hold 2311</t>
  </si>
  <si>
    <t>Hold 2212</t>
  </si>
  <si>
    <t>Excercise 2311</t>
  </si>
  <si>
    <t>Excercise 2212</t>
  </si>
  <si>
    <t>V2311</t>
  </si>
  <si>
    <t>V2212</t>
  </si>
  <si>
    <t>V 2113</t>
  </si>
  <si>
    <t>V 2014</t>
  </si>
  <si>
    <t>V 1915</t>
  </si>
  <si>
    <t>V 1816</t>
  </si>
  <si>
    <t>V 1717</t>
  </si>
  <si>
    <t>At time 24 - node S2411</t>
  </si>
  <si>
    <t>At time 23- node S2310</t>
  </si>
  <si>
    <t>At time 20 - node S2013</t>
  </si>
  <si>
    <t>At time 19 -node S1914</t>
  </si>
  <si>
    <t>At time 18 - node S1815</t>
  </si>
  <si>
    <t>At time 17 - node S1716</t>
  </si>
  <si>
    <t>Hold 2310</t>
  </si>
  <si>
    <t>Hold 2211</t>
  </si>
  <si>
    <t>Excercise 2310</t>
  </si>
  <si>
    <t>Excercise 2211</t>
  </si>
  <si>
    <t>V2310</t>
  </si>
  <si>
    <t>V2211</t>
  </si>
  <si>
    <t>V 2112</t>
  </si>
  <si>
    <t>V 2013</t>
  </si>
  <si>
    <t>V 1914</t>
  </si>
  <si>
    <t>V 1815</t>
  </si>
  <si>
    <t>V 1716</t>
  </si>
  <si>
    <t>Step 17 - 16</t>
  </si>
  <si>
    <t>At time 24 - node S2410</t>
  </si>
  <si>
    <t>At time 23- node S2309</t>
  </si>
  <si>
    <t>At time 20 - node S2012</t>
  </si>
  <si>
    <t>At time 19 -node S1913</t>
  </si>
  <si>
    <t>At time 18 - node S1814</t>
  </si>
  <si>
    <t>At time 17 - node S1715</t>
  </si>
  <si>
    <t>At time 16 node S1616</t>
  </si>
  <si>
    <t>Hold 2309</t>
  </si>
  <si>
    <t>Hold 2210</t>
  </si>
  <si>
    <t>Excercise 2309</t>
  </si>
  <si>
    <t>Excercise 2210</t>
  </si>
  <si>
    <t>V2309</t>
  </si>
  <si>
    <t>V2210</t>
  </si>
  <si>
    <t>V 2111</t>
  </si>
  <si>
    <t>V 2012</t>
  </si>
  <si>
    <t>V 1913</t>
  </si>
  <si>
    <t>V 1814</t>
  </si>
  <si>
    <t>V 1715</t>
  </si>
  <si>
    <t>V 1616</t>
  </si>
  <si>
    <t>At time 24 - node S2409</t>
  </si>
  <si>
    <t>At time 23- node S2308</t>
  </si>
  <si>
    <t>At time 20 - node S2011</t>
  </si>
  <si>
    <t>At time 19 -node S1912</t>
  </si>
  <si>
    <t>At time 18 - node S1813</t>
  </si>
  <si>
    <t>At time 17 - node S1714</t>
  </si>
  <si>
    <t>At time 16 - node S1615</t>
  </si>
  <si>
    <t>Hold 2308</t>
  </si>
  <si>
    <t>Hold 2209</t>
  </si>
  <si>
    <t>Excercise 2308</t>
  </si>
  <si>
    <t>Excercise 2209</t>
  </si>
  <si>
    <t>V2308</t>
  </si>
  <si>
    <t>V2209</t>
  </si>
  <si>
    <t>V 2110</t>
  </si>
  <si>
    <t>V 2011</t>
  </si>
  <si>
    <t>V 1912</t>
  </si>
  <si>
    <t>V 1813</t>
  </si>
  <si>
    <t>V 1714</t>
  </si>
  <si>
    <t>V 1615</t>
  </si>
  <si>
    <t>Step 16 - 15</t>
  </si>
  <si>
    <t>At time 24 - node S2408</t>
  </si>
  <si>
    <t>At time 23- node S2307</t>
  </si>
  <si>
    <t>At time 20 - node S2010</t>
  </si>
  <si>
    <t>At time 19 -node S1911</t>
  </si>
  <si>
    <t>At time 18 - node S1812</t>
  </si>
  <si>
    <t>At time 17 - node S1713</t>
  </si>
  <si>
    <t>At time 15 - node S1515</t>
  </si>
  <si>
    <t>Hold 2307</t>
  </si>
  <si>
    <t>Hold 2208</t>
  </si>
  <si>
    <t>Excercise 2307</t>
  </si>
  <si>
    <t>Excercise 2208</t>
  </si>
  <si>
    <t xml:space="preserve">Excercise </t>
  </si>
  <si>
    <t>V2307</t>
  </si>
  <si>
    <t>V2208</t>
  </si>
  <si>
    <t>V 2109</t>
  </si>
  <si>
    <t>V 2010</t>
  </si>
  <si>
    <t>V 1911</t>
  </si>
  <si>
    <t>V 1812</t>
  </si>
  <si>
    <t>V 1713</t>
  </si>
  <si>
    <t>V1515</t>
  </si>
  <si>
    <t>At time 24 - node S2407</t>
  </si>
  <si>
    <t>At time 23- node S2306</t>
  </si>
  <si>
    <t>At time 20 - node S2009</t>
  </si>
  <si>
    <t>At time 19 -node S1910</t>
  </si>
  <si>
    <t>At time 18 - node S1811</t>
  </si>
  <si>
    <t>At time 17 - node S1712</t>
  </si>
  <si>
    <t>At time 15 - node S1514</t>
  </si>
  <si>
    <t>Hold 2306</t>
  </si>
  <si>
    <t>Hold 2207</t>
  </si>
  <si>
    <t>Excercise 2306</t>
  </si>
  <si>
    <t>Excercise 2207</t>
  </si>
  <si>
    <t>V2306</t>
  </si>
  <si>
    <t>V2207</t>
  </si>
  <si>
    <t>V 2108</t>
  </si>
  <si>
    <t>V 2009</t>
  </si>
  <si>
    <t>V 1910</t>
  </si>
  <si>
    <t>V 1811</t>
  </si>
  <si>
    <t>V1712</t>
  </si>
  <si>
    <t>V1514</t>
  </si>
  <si>
    <t>Step 15 - 14</t>
  </si>
  <si>
    <t>At time 24 - node S2406</t>
  </si>
  <si>
    <t>At time 23- node S2305</t>
  </si>
  <si>
    <t>At time 20 - node S2008</t>
  </si>
  <si>
    <t>At time 19 -node S1909</t>
  </si>
  <si>
    <t>At time 18 - node S1810</t>
  </si>
  <si>
    <t>At time 17 - node S1711</t>
  </si>
  <si>
    <t>At time 15 - node S1513</t>
  </si>
  <si>
    <t>At time 14 - node 1414</t>
  </si>
  <si>
    <t>Hold 2305</t>
  </si>
  <si>
    <t>Hold 2206</t>
  </si>
  <si>
    <t>Excercise 2305</t>
  </si>
  <si>
    <t>Excercise 2206</t>
  </si>
  <si>
    <t>V2305</t>
  </si>
  <si>
    <t>V2206</t>
  </si>
  <si>
    <t>V 2107</t>
  </si>
  <si>
    <t>V 2008</t>
  </si>
  <si>
    <t>V 1909</t>
  </si>
  <si>
    <t>V 1810</t>
  </si>
  <si>
    <t>V1711</t>
  </si>
  <si>
    <t>V1513</t>
  </si>
  <si>
    <t>V1414</t>
  </si>
  <si>
    <t>At time 24 - node S2405</t>
  </si>
  <si>
    <t>At time 23- node S2304</t>
  </si>
  <si>
    <t>At time 20 - node S2007</t>
  </si>
  <si>
    <t>At time 19 -node S1908</t>
  </si>
  <si>
    <t>At time 18 - node S1809</t>
  </si>
  <si>
    <t>At time 17 - node S1710</t>
  </si>
  <si>
    <t>At time 15 - node S1512</t>
  </si>
  <si>
    <t>At time 14 - node 1413</t>
  </si>
  <si>
    <t>Hold 2304</t>
  </si>
  <si>
    <t>Hold 2205</t>
  </si>
  <si>
    <t>Excercise 2304</t>
  </si>
  <si>
    <t>Excercise 2205</t>
  </si>
  <si>
    <t>V2304</t>
  </si>
  <si>
    <t>V2205</t>
  </si>
  <si>
    <t>V 2106</t>
  </si>
  <si>
    <t>V 2007</t>
  </si>
  <si>
    <t>V 1908</t>
  </si>
  <si>
    <t>V 1809</t>
  </si>
  <si>
    <t>V1710</t>
  </si>
  <si>
    <t>V1512</t>
  </si>
  <si>
    <t>V1413</t>
  </si>
  <si>
    <t>Step 14 - 13</t>
  </si>
  <si>
    <t>At time 24 - node S2404</t>
  </si>
  <si>
    <t>At time 23- node S2303</t>
  </si>
  <si>
    <t>At time 20 - node S2006</t>
  </si>
  <si>
    <t>At time 19 -node S1907</t>
  </si>
  <si>
    <t>At time 18 - node S1808</t>
  </si>
  <si>
    <t>At time 17 - node S1709</t>
  </si>
  <si>
    <t>At time 15 - node S1511</t>
  </si>
  <si>
    <t>At time 14 - node 1412</t>
  </si>
  <si>
    <t>At time 13 - node 1313</t>
  </si>
  <si>
    <t>Hold 2303</t>
  </si>
  <si>
    <t>Hold 2204</t>
  </si>
  <si>
    <t>Excercise 2303</t>
  </si>
  <si>
    <t>Excercise 2204</t>
  </si>
  <si>
    <t>V2303</t>
  </si>
  <si>
    <t>V2204</t>
  </si>
  <si>
    <t>V 2105</t>
  </si>
  <si>
    <t>V 2006</t>
  </si>
  <si>
    <t>V 1907</t>
  </si>
  <si>
    <t>V 1808</t>
  </si>
  <si>
    <t>V1709</t>
  </si>
  <si>
    <t>V1511</t>
  </si>
  <si>
    <t>V1412</t>
  </si>
  <si>
    <t>V1313</t>
  </si>
  <si>
    <t>At time 24 - node S2403</t>
  </si>
  <si>
    <t>At time 23- node S2302</t>
  </si>
  <si>
    <t>At time 20 - node S2005</t>
  </si>
  <si>
    <t>At time 19 -node S1906</t>
  </si>
  <si>
    <t>At time 18 - node S1807</t>
  </si>
  <si>
    <t>At time 17 - node S1708</t>
  </si>
  <si>
    <t>At time 15 - node S1510</t>
  </si>
  <si>
    <t>At time 14 - node 1411</t>
  </si>
  <si>
    <t>At time 13 - node 1312</t>
  </si>
  <si>
    <t>Hold 2302</t>
  </si>
  <si>
    <t>Hold 2203</t>
  </si>
  <si>
    <t>Excercise 2302</t>
  </si>
  <si>
    <t>Excercise 2203</t>
  </si>
  <si>
    <t>V2302</t>
  </si>
  <si>
    <t>V2203</t>
  </si>
  <si>
    <t>V 2104</t>
  </si>
  <si>
    <t>V 2005</t>
  </si>
  <si>
    <t>V 1906</t>
  </si>
  <si>
    <t>V1807</t>
  </si>
  <si>
    <t>V1708</t>
  </si>
  <si>
    <t>V1510</t>
  </si>
  <si>
    <t>V1411</t>
  </si>
  <si>
    <t>V1312</t>
  </si>
  <si>
    <t>Step 13 - 12</t>
  </si>
  <si>
    <t>At time 24 - node S2402</t>
  </si>
  <si>
    <t>At time 23- node S2301</t>
  </si>
  <si>
    <t>At time 20 - node S2004</t>
  </si>
  <si>
    <t>At time 19 -node S1905</t>
  </si>
  <si>
    <t>At time 18 - node S1806</t>
  </si>
  <si>
    <t>At time 17 - node S1707</t>
  </si>
  <si>
    <t>At time 15 - node S1509</t>
  </si>
  <si>
    <t>At time 14 - node 1410</t>
  </si>
  <si>
    <t>At time 13 - node 1311</t>
  </si>
  <si>
    <t>At time 12 - node 1212</t>
  </si>
  <si>
    <t>Hold 2301</t>
  </si>
  <si>
    <t>Hold 2202</t>
  </si>
  <si>
    <t>Excercise 2301</t>
  </si>
  <si>
    <t>Excercise 2202</t>
  </si>
  <si>
    <t>V2301</t>
  </si>
  <si>
    <t>V2202</t>
  </si>
  <si>
    <t>V 2103</t>
  </si>
  <si>
    <t>V 2004</t>
  </si>
  <si>
    <t>V 1905</t>
  </si>
  <si>
    <t>V 1806</t>
  </si>
  <si>
    <t>V1707</t>
  </si>
  <si>
    <t>V1509</t>
  </si>
  <si>
    <t>V1410</t>
  </si>
  <si>
    <t>V1311</t>
  </si>
  <si>
    <t>V1212</t>
  </si>
  <si>
    <t>At time 24 - node S2401</t>
  </si>
  <si>
    <t>At time 23- node S2300</t>
  </si>
  <si>
    <t>At time 20 - node S2003</t>
  </si>
  <si>
    <t>At time 19 -node S1904</t>
  </si>
  <si>
    <t>At time 18 - node S1805</t>
  </si>
  <si>
    <t>At time 17 - node S1706</t>
  </si>
  <si>
    <t>At time 15 - node S1508</t>
  </si>
  <si>
    <t>At time 14 - node 1409</t>
  </si>
  <si>
    <t>At time 13 - node 1310</t>
  </si>
  <si>
    <t>At time 12 - node 1211</t>
  </si>
  <si>
    <t>Hold 2300</t>
  </si>
  <si>
    <t>Hold 2201</t>
  </si>
  <si>
    <t>Excercise 2300</t>
  </si>
  <si>
    <t>Excercise 2201</t>
  </si>
  <si>
    <t>V2300</t>
  </si>
  <si>
    <t>V2201</t>
  </si>
  <si>
    <t>V 2102</t>
  </si>
  <si>
    <t>V 2003</t>
  </si>
  <si>
    <t>V 1904</t>
  </si>
  <si>
    <t>V 1805</t>
  </si>
  <si>
    <t>V1706</t>
  </si>
  <si>
    <t>V1508</t>
  </si>
  <si>
    <t>V1409</t>
  </si>
  <si>
    <t>V1310</t>
  </si>
  <si>
    <t>V1211</t>
  </si>
  <si>
    <t>Step 12 - 11</t>
  </si>
  <si>
    <t>At time 20 - node S2002</t>
  </si>
  <si>
    <t>At time 19 -node S1903</t>
  </si>
  <si>
    <t>At time 18 - node S1804</t>
  </si>
  <si>
    <t>At time 17 - node S1705</t>
  </si>
  <si>
    <t>At time 15 - node S1507</t>
  </si>
  <si>
    <t>At time 14 - node 1408</t>
  </si>
  <si>
    <t>At time 13 - node 1309</t>
  </si>
  <si>
    <t>At time 12 - node 1210</t>
  </si>
  <si>
    <t>At time 11 -node 1111</t>
  </si>
  <si>
    <t>Hold 2200</t>
  </si>
  <si>
    <t>Excercise 2200</t>
  </si>
  <si>
    <t>V2200</t>
  </si>
  <si>
    <t>V 2101</t>
  </si>
  <si>
    <t>V 2002</t>
  </si>
  <si>
    <t>V 1903</t>
  </si>
  <si>
    <t>V 1804</t>
  </si>
  <si>
    <t>V1705</t>
  </si>
  <si>
    <t>V1507</t>
  </si>
  <si>
    <t>V1408</t>
  </si>
  <si>
    <t>V1309</t>
  </si>
  <si>
    <t>V1210</t>
  </si>
  <si>
    <t>V1111</t>
  </si>
  <si>
    <t>At time 20 - node S2001</t>
  </si>
  <si>
    <t>At time 19 -node S1902</t>
  </si>
  <si>
    <t>At time 18 - node S1803</t>
  </si>
  <si>
    <t>At time 17 - node S1704</t>
  </si>
  <si>
    <t>At time 15 - node S1506</t>
  </si>
  <si>
    <t>At time 14 - node 1407</t>
  </si>
  <si>
    <t>At time 13 - node 1308</t>
  </si>
  <si>
    <t>At time 12 - node 1209</t>
  </si>
  <si>
    <t>At time 11 -node 1110</t>
  </si>
  <si>
    <t>V 2100</t>
  </si>
  <si>
    <t>V 2001</t>
  </si>
  <si>
    <t>V 1902</t>
  </si>
  <si>
    <t>V 1803</t>
  </si>
  <si>
    <t>V1704</t>
  </si>
  <si>
    <t>V1506</t>
  </si>
  <si>
    <t>V1407</t>
  </si>
  <si>
    <t>V1308</t>
  </si>
  <si>
    <t>V1209</t>
  </si>
  <si>
    <t>V1110</t>
  </si>
  <si>
    <t>Step 11 - 10</t>
  </si>
  <si>
    <t>At time 20 - node S2000</t>
  </si>
  <si>
    <t>At time 19 -node S1901</t>
  </si>
  <si>
    <t>At time 18 - node S1802</t>
  </si>
  <si>
    <t>At time 17 - node S1703</t>
  </si>
  <si>
    <t>At time 15 - node S1505</t>
  </si>
  <si>
    <t>At time 14 - node 1406</t>
  </si>
  <si>
    <t>At time 13 - node 1307</t>
  </si>
  <si>
    <t>At time 12 - node 1208</t>
  </si>
  <si>
    <t>At time 11 -node 1109</t>
  </si>
  <si>
    <t>At time 10 - node 1010</t>
  </si>
  <si>
    <t>Exercise</t>
  </si>
  <si>
    <t>V 2000</t>
  </si>
  <si>
    <t>V 1901</t>
  </si>
  <si>
    <t>V 1802</t>
  </si>
  <si>
    <t>V1703</t>
  </si>
  <si>
    <t>V1505</t>
  </si>
  <si>
    <t>V1406</t>
  </si>
  <si>
    <t>V1307</t>
  </si>
  <si>
    <t>V1208</t>
  </si>
  <si>
    <t>V1109</t>
  </si>
  <si>
    <t>V1010</t>
  </si>
  <si>
    <t>At time 19 -node S1900</t>
  </si>
  <si>
    <t>At time 18 - node S1801</t>
  </si>
  <si>
    <t>At time 17 - node S1702</t>
  </si>
  <si>
    <t>At time 15 - node S1504</t>
  </si>
  <si>
    <t>At time 14 - node 1405</t>
  </si>
  <si>
    <t>At time 13 - node 1306</t>
  </si>
  <si>
    <t>At time 12 - node 1207</t>
  </si>
  <si>
    <t>At time 11 -node 1108</t>
  </si>
  <si>
    <t>At time 10 - node 1009</t>
  </si>
  <si>
    <t>V 1900</t>
  </si>
  <si>
    <t>V 1801</t>
  </si>
  <si>
    <t>V1702</t>
  </si>
  <si>
    <t>V1504</t>
  </si>
  <si>
    <t>V1405</t>
  </si>
  <si>
    <t>V1306</t>
  </si>
  <si>
    <t>V1207</t>
  </si>
  <si>
    <t>V1108</t>
  </si>
  <si>
    <t>V1009</t>
  </si>
  <si>
    <t>Step 10 - 9</t>
  </si>
  <si>
    <t>At time 18 - node S1800</t>
  </si>
  <si>
    <t>At time 17 - node S1701</t>
  </si>
  <si>
    <t>At time 15 - node S1503</t>
  </si>
  <si>
    <t>At time 14 - node 1404</t>
  </si>
  <si>
    <t>At time 13 - node 1305</t>
  </si>
  <si>
    <t>At time 12 - node 1206</t>
  </si>
  <si>
    <t>At time 11 -node 1107</t>
  </si>
  <si>
    <t>At time 10 - node 1008</t>
  </si>
  <si>
    <t>At time 9 - node 0909</t>
  </si>
  <si>
    <t>V 1800</t>
  </si>
  <si>
    <t>V1701</t>
  </si>
  <si>
    <t>V1503</t>
  </si>
  <si>
    <t>V1404</t>
  </si>
  <si>
    <t>V1305</t>
  </si>
  <si>
    <t>V1206</t>
  </si>
  <si>
    <t>V1107</t>
  </si>
  <si>
    <t>V1008</t>
  </si>
  <si>
    <t>V0909</t>
  </si>
  <si>
    <t>At time 17 - node S1700</t>
  </si>
  <si>
    <t>At time 15 - node S1502</t>
  </si>
  <si>
    <t>At time 14 - node 1403</t>
  </si>
  <si>
    <t>At time 13 - node 1304</t>
  </si>
  <si>
    <t>At time 12 - node 1205</t>
  </si>
  <si>
    <t>At time 11 -node 1106</t>
  </si>
  <si>
    <t>At time 10 - node 1007</t>
  </si>
  <si>
    <t>At time 9 - node 0908</t>
  </si>
  <si>
    <t>V1700</t>
  </si>
  <si>
    <t>V1502</t>
  </si>
  <si>
    <t>V1403</t>
  </si>
  <si>
    <t>V1304</t>
  </si>
  <si>
    <t>V1205</t>
  </si>
  <si>
    <t>V1106</t>
  </si>
  <si>
    <t>V1007</t>
  </si>
  <si>
    <t>V0908</t>
  </si>
  <si>
    <t>Step 9 - 8</t>
  </si>
  <si>
    <t>At time 15 - node S1501</t>
  </si>
  <si>
    <t>At time 14 - node 1402</t>
  </si>
  <si>
    <t>At time 13 - node 1303</t>
  </si>
  <si>
    <t>At time 12 - node 1204</t>
  </si>
  <si>
    <t>At time 11 -node 1105</t>
  </si>
  <si>
    <t>At time 10 - node 1006</t>
  </si>
  <si>
    <t>At time 9 - node 0907</t>
  </si>
  <si>
    <t>At time 8 - node 0808</t>
  </si>
  <si>
    <t>V1501</t>
  </si>
  <si>
    <t>V1402</t>
  </si>
  <si>
    <t>V1303</t>
  </si>
  <si>
    <t>V1204</t>
  </si>
  <si>
    <t>V1105</t>
  </si>
  <si>
    <t>V1006</t>
  </si>
  <si>
    <t>V0907</t>
  </si>
  <si>
    <t>V080</t>
  </si>
  <si>
    <t>At time 15 - node S1500</t>
  </si>
  <si>
    <t>At time 14 - node 1401</t>
  </si>
  <si>
    <t>At time 13 - node 1302</t>
  </si>
  <si>
    <t>At time 12 - node 1203</t>
  </si>
  <si>
    <t>At time 11 -node 1104</t>
  </si>
  <si>
    <t>At time 10 - node 1005</t>
  </si>
  <si>
    <t>At time 9 - node 0906</t>
  </si>
  <si>
    <t>At time 8 - node 0807</t>
  </si>
  <si>
    <t>V1500</t>
  </si>
  <si>
    <t>V1401</t>
  </si>
  <si>
    <t>V1302</t>
  </si>
  <si>
    <t>V1203</t>
  </si>
  <si>
    <t>V1104</t>
  </si>
  <si>
    <t>V1005</t>
  </si>
  <si>
    <t>V0906</t>
  </si>
  <si>
    <t>Step 8 - 7</t>
  </si>
  <si>
    <t>At time 14 - node 1400</t>
  </si>
  <si>
    <t>At time 13 - node 1301</t>
  </si>
  <si>
    <t>At time 12 - node 1202</t>
  </si>
  <si>
    <t>At time 11 -node 1103</t>
  </si>
  <si>
    <t>At time 10 - node 1004</t>
  </si>
  <si>
    <t>At time 9 - node 0905</t>
  </si>
  <si>
    <t>At time 8 - node 0806</t>
  </si>
  <si>
    <t>At time 7 - node 0707</t>
  </si>
  <si>
    <t>Execise</t>
  </si>
  <si>
    <t>V1400</t>
  </si>
  <si>
    <t>V1301</t>
  </si>
  <si>
    <t>V1202</t>
  </si>
  <si>
    <t>V1103</t>
  </si>
  <si>
    <t>V1004</t>
  </si>
  <si>
    <t>V0905</t>
  </si>
  <si>
    <t>V0707</t>
  </si>
  <si>
    <t>At time 13 - node 1300</t>
  </si>
  <si>
    <t>At time 12 - node 1201</t>
  </si>
  <si>
    <t>At time 11 -node 1102</t>
  </si>
  <si>
    <t>At time 10 - node 1003</t>
  </si>
  <si>
    <t>At time 9 - node 0904</t>
  </si>
  <si>
    <t>At time 8 - node 0805</t>
  </si>
  <si>
    <t>At time 7 - node 0706</t>
  </si>
  <si>
    <t>V1300</t>
  </si>
  <si>
    <t>V1201</t>
  </si>
  <si>
    <t>V1102</t>
  </si>
  <si>
    <t>V1003</t>
  </si>
  <si>
    <t>V0904</t>
  </si>
  <si>
    <t>V0706</t>
  </si>
  <si>
    <t>At time 12 - node 1200</t>
  </si>
  <si>
    <t>At time 11 -node 1101</t>
  </si>
  <si>
    <t>At time 10 - node 1002</t>
  </si>
  <si>
    <t>At time 9 - node 0903</t>
  </si>
  <si>
    <t>At time 8 - node 0804</t>
  </si>
  <si>
    <t>At time 7 - node 0705</t>
  </si>
  <si>
    <t>At time 6 - node 0606</t>
  </si>
  <si>
    <t>V1200</t>
  </si>
  <si>
    <t>V1101</t>
  </si>
  <si>
    <t>V1002</t>
  </si>
  <si>
    <t>V0903</t>
  </si>
  <si>
    <t>V0705</t>
  </si>
  <si>
    <t>V0606</t>
  </si>
  <si>
    <t>At time 11 -node 1100</t>
  </si>
  <si>
    <t>At time 10 - node 1001</t>
  </si>
  <si>
    <t>At time 9 - node 0902</t>
  </si>
  <si>
    <t>At time 8 - node 0803</t>
  </si>
  <si>
    <t>At time 7 - node 0704</t>
  </si>
  <si>
    <t>At time 6 - node 0605</t>
  </si>
  <si>
    <t>V1100</t>
  </si>
  <si>
    <t>V1001</t>
  </si>
  <si>
    <t>V0902</t>
  </si>
  <si>
    <t>V0704</t>
  </si>
  <si>
    <t>V0605</t>
  </si>
  <si>
    <t>At time 10 - node 1000</t>
  </si>
  <si>
    <t>At time 9 - node 0901</t>
  </si>
  <si>
    <t>At time 8 - node 0802</t>
  </si>
  <si>
    <t>At time 7 - node 0703</t>
  </si>
  <si>
    <t>At time 6 - node 0604</t>
  </si>
  <si>
    <t>At time 5 - node 0505</t>
  </si>
  <si>
    <t>V1000</t>
  </si>
  <si>
    <t>V0901</t>
  </si>
  <si>
    <t>V0703</t>
  </si>
  <si>
    <t>V0604</t>
  </si>
  <si>
    <t>V0505</t>
  </si>
  <si>
    <t>At time 9 - node 0900</t>
  </si>
  <si>
    <t>At time 8 - node 0801</t>
  </si>
  <si>
    <t>At time 7 - node 0702</t>
  </si>
  <si>
    <t>At time 6 - node 0603</t>
  </si>
  <si>
    <t>At time 5 - node 0504</t>
  </si>
  <si>
    <t>V0900</t>
  </si>
  <si>
    <t>V0702</t>
  </si>
  <si>
    <t>V0603</t>
  </si>
  <si>
    <t>V0504</t>
  </si>
  <si>
    <t>At time 8 - node 0800</t>
  </si>
  <si>
    <t>At time 7 - node 0701</t>
  </si>
  <si>
    <t>At time 6 - node 0602</t>
  </si>
  <si>
    <t>At time 5 - node 0503</t>
  </si>
  <si>
    <t>At time 4 - node 0404</t>
  </si>
  <si>
    <t>V0701</t>
  </si>
  <si>
    <t>V0602</t>
  </si>
  <si>
    <t>V0503</t>
  </si>
  <si>
    <t>V0404</t>
  </si>
  <si>
    <t>At time 7 - node 0700</t>
  </si>
  <si>
    <t>At time 6 - node 0601</t>
  </si>
  <si>
    <t>At time 5 - node 0502</t>
  </si>
  <si>
    <t>V0700</t>
  </si>
  <si>
    <t>V0601</t>
  </si>
  <si>
    <t>V0502</t>
  </si>
  <si>
    <t>V0403</t>
  </si>
  <si>
    <t>At time 6 - node 0600</t>
  </si>
  <si>
    <t>At time 5 - node 0501</t>
  </si>
  <si>
    <t>At time 3 - node 0303</t>
  </si>
  <si>
    <t>V0600</t>
  </si>
  <si>
    <t>V0501</t>
  </si>
  <si>
    <t>V0402</t>
  </si>
  <si>
    <t>V0303</t>
  </si>
  <si>
    <t>At time 5 - node 0500</t>
  </si>
  <si>
    <t>V0500</t>
  </si>
  <si>
    <t>V0401</t>
  </si>
  <si>
    <t>At time 2 - node 0202</t>
  </si>
  <si>
    <t>V0400</t>
  </si>
  <si>
    <t>V0202</t>
  </si>
  <si>
    <t>At time 2 - node 0201</t>
  </si>
  <si>
    <t>V0201</t>
  </si>
  <si>
    <t>At time 2 - node 0200</t>
  </si>
  <si>
    <t>At time 1 node 0101</t>
  </si>
  <si>
    <t>V0200</t>
  </si>
  <si>
    <t>V0101</t>
  </si>
  <si>
    <t>At time 1 node 0102</t>
  </si>
  <si>
    <t>At time node 0 - 0000</t>
  </si>
  <si>
    <t xml:space="preserve">Hold </t>
  </si>
  <si>
    <t>V0000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</si>
</sst>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3" borderId="6" xfId="0" applyFont="1" applyFill="1" applyBorder="1"/>
    <xf numFmtId="0" fontId="1" fillId="2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4" borderId="2" xfId="0" applyFont="1" applyFill="1" applyBorder="1"/>
    <xf numFmtId="0" fontId="1" fillId="2" borderId="13" xfId="0" applyFont="1" applyFill="1" applyBorder="1"/>
    <xf numFmtId="0" fontId="1" fillId="4" borderId="11" xfId="0" applyFont="1" applyFill="1" applyBorder="1"/>
    <xf numFmtId="0" fontId="1" fillId="5" borderId="15" xfId="0" applyFont="1" applyFill="1" applyBorder="1"/>
    <xf numFmtId="0" fontId="1" fillId="0" borderId="10" xfId="0" applyFont="1" applyBorder="1"/>
    <xf numFmtId="0" fontId="1" fillId="0" borderId="5" xfId="0" applyFont="1" applyBorder="1"/>
    <xf numFmtId="0" fontId="0" fillId="0" borderId="27" xfId="0" applyBorder="1"/>
    <xf numFmtId="0" fontId="0" fillId="0" borderId="28" xfId="0" applyBorder="1"/>
    <xf numFmtId="0" fontId="2" fillId="0" borderId="27" xfId="0" applyFont="1" applyBorder="1"/>
    <xf numFmtId="0" fontId="0" fillId="0" borderId="10" xfId="0" applyBorder="1"/>
    <xf numFmtId="0" fontId="0" fillId="0" borderId="29" xfId="0" applyBorder="1"/>
    <xf numFmtId="0" fontId="0" fillId="0" borderId="12" xfId="0" applyBorder="1"/>
    <xf numFmtId="0" fontId="0" fillId="0" borderId="1" xfId="0" applyBorder="1"/>
    <xf numFmtId="0" fontId="0" fillId="0" borderId="3" xfId="0" applyBorder="1"/>
    <xf numFmtId="0" fontId="0" fillId="0" borderId="30" xfId="0" applyBorder="1"/>
    <xf numFmtId="0" fontId="0" fillId="0" borderId="5" xfId="0" applyBorder="1"/>
    <xf numFmtId="0" fontId="0" fillId="0" borderId="11" xfId="0" applyBorder="1"/>
    <xf numFmtId="0" fontId="0" fillId="0" borderId="2" xfId="0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/>
    <xf numFmtId="0" fontId="0" fillId="0" borderId="29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272"/>
  <sheetViews>
    <sheetView tabSelected="1" workbookViewId="0">
      <selection activeCell="C5" sqref="C5"/>
    </sheetView>
  </sheetViews>
  <sheetFormatPr defaultRowHeight="15"/>
  <cols>
    <col min="3" max="3" width="9.28515625" bestFit="1" customWidth="1"/>
    <col min="5" max="5" width="9.28515625" bestFit="1" customWidth="1"/>
  </cols>
  <sheetData>
    <row r="1" spans="1:16">
      <c r="A1" s="40" t="s">
        <v>0</v>
      </c>
      <c r="B1" s="41"/>
      <c r="C1" s="42"/>
    </row>
    <row r="2" spans="1:16">
      <c r="A2" s="40"/>
      <c r="B2" s="41"/>
      <c r="C2" s="42"/>
    </row>
    <row r="3" spans="1:16">
      <c r="A3" s="63" t="s">
        <v>1</v>
      </c>
      <c r="B3" s="64"/>
      <c r="C3" s="2">
        <v>3303.02</v>
      </c>
      <c r="E3" s="61" t="s">
        <v>2</v>
      </c>
      <c r="F3" s="62"/>
      <c r="G3" s="5" t="s">
        <v>3</v>
      </c>
      <c r="J3" s="1"/>
      <c r="K3" s="1"/>
      <c r="L3" s="1"/>
      <c r="M3" s="1"/>
      <c r="N3" s="1"/>
      <c r="O3" s="1"/>
      <c r="P3" s="1"/>
    </row>
    <row r="4" spans="1:16">
      <c r="A4" s="63" t="s">
        <v>4</v>
      </c>
      <c r="B4" s="64"/>
      <c r="C4" s="3">
        <v>3400</v>
      </c>
      <c r="E4" s="7" t="s">
        <v>5</v>
      </c>
      <c r="F4" s="8" t="s">
        <v>6</v>
      </c>
      <c r="G4" s="1"/>
      <c r="J4" s="1"/>
      <c r="K4" s="1"/>
      <c r="L4" s="1"/>
      <c r="M4" s="1"/>
      <c r="N4" s="1"/>
      <c r="O4" s="1"/>
      <c r="P4" s="1"/>
    </row>
    <row r="5" spans="1:16">
      <c r="A5" s="63" t="s">
        <v>7</v>
      </c>
      <c r="B5" s="64"/>
      <c r="C5" s="4">
        <v>0.112329</v>
      </c>
      <c r="J5" s="1"/>
      <c r="K5" s="1"/>
      <c r="L5" s="1"/>
      <c r="M5" s="1"/>
      <c r="N5" s="1"/>
      <c r="O5" s="1"/>
      <c r="P5" s="1"/>
    </row>
    <row r="6" spans="1:16">
      <c r="A6" s="63" t="s">
        <v>8</v>
      </c>
      <c r="B6" s="64"/>
      <c r="C6" s="6">
        <v>3.6700000000000003E-2</v>
      </c>
      <c r="J6" s="1"/>
      <c r="K6" s="1"/>
      <c r="L6" s="1"/>
      <c r="M6" s="1"/>
      <c r="N6" s="1"/>
      <c r="O6" s="1"/>
      <c r="P6" s="1"/>
    </row>
    <row r="7" spans="1:16">
      <c r="A7" s="63" t="s">
        <v>9</v>
      </c>
      <c r="B7" s="64"/>
      <c r="C7" s="6">
        <v>8.3000000000000001E-3</v>
      </c>
      <c r="J7" s="1"/>
      <c r="K7" s="1"/>
      <c r="L7" s="1"/>
      <c r="M7" s="1"/>
      <c r="N7" s="1"/>
      <c r="O7" s="1"/>
      <c r="P7" s="1"/>
    </row>
    <row r="8" spans="1:16">
      <c r="A8" s="63" t="s">
        <v>10</v>
      </c>
      <c r="B8" s="64"/>
      <c r="C8" s="2">
        <v>0.27729999999999999</v>
      </c>
      <c r="E8" s="59" t="s">
        <v>11</v>
      </c>
      <c r="F8" s="60"/>
      <c r="G8" s="9">
        <v>3302.46</v>
      </c>
      <c r="J8" s="1"/>
      <c r="K8" s="1"/>
      <c r="L8" s="1"/>
      <c r="M8" s="1"/>
      <c r="N8" s="1"/>
      <c r="O8" s="1"/>
      <c r="P8" s="1"/>
    </row>
    <row r="9" spans="1:16">
      <c r="A9" s="63" t="s">
        <v>12</v>
      </c>
      <c r="B9" s="64"/>
      <c r="C9" s="10">
        <v>25</v>
      </c>
      <c r="E9" s="59" t="s">
        <v>13</v>
      </c>
      <c r="F9" s="60"/>
      <c r="G9" s="11">
        <v>3303.02</v>
      </c>
      <c r="J9" s="1"/>
      <c r="K9" s="1"/>
      <c r="L9" s="1"/>
      <c r="M9" s="1"/>
      <c r="N9" s="1"/>
      <c r="O9" s="1"/>
      <c r="P9" s="1"/>
    </row>
    <row r="10" spans="1:16">
      <c r="J10" s="1"/>
      <c r="K10" s="1"/>
      <c r="L10" s="1"/>
      <c r="M10" s="1"/>
      <c r="N10" s="1"/>
      <c r="O10" s="1"/>
      <c r="P10" s="1"/>
    </row>
    <row r="11" spans="1:16">
      <c r="A11" s="43" t="s">
        <v>14</v>
      </c>
      <c r="B11" s="44"/>
      <c r="C11" s="45"/>
      <c r="J11" s="1"/>
      <c r="K11" s="1"/>
      <c r="L11" s="1"/>
      <c r="M11" s="1"/>
      <c r="N11" s="1"/>
      <c r="O11" s="1"/>
      <c r="P11" s="1"/>
    </row>
    <row r="12" spans="1:16">
      <c r="A12" s="46"/>
      <c r="B12" s="47"/>
      <c r="C12" s="48"/>
      <c r="J12" s="1"/>
      <c r="K12" s="1"/>
      <c r="L12" s="1"/>
      <c r="M12" s="1"/>
      <c r="N12" s="1"/>
      <c r="O12" s="1"/>
      <c r="P12" s="1"/>
    </row>
    <row r="13" spans="1:16">
      <c r="A13" s="49" t="s">
        <v>15</v>
      </c>
      <c r="B13" s="50"/>
      <c r="C13" s="12">
        <f>C5/C9</f>
        <v>4.4931599999999995E-3</v>
      </c>
      <c r="F13" s="80" t="s">
        <v>16</v>
      </c>
      <c r="G13" s="81"/>
      <c r="H13" s="82">
        <f>CU272</f>
        <v>96.980000000000018</v>
      </c>
      <c r="J13" s="1"/>
      <c r="K13" s="1"/>
      <c r="L13" s="1"/>
      <c r="M13" s="1"/>
      <c r="N13" s="1"/>
      <c r="O13" s="1"/>
      <c r="P13" s="1"/>
    </row>
    <row r="14" spans="1:16">
      <c r="A14" s="51" t="s">
        <v>17</v>
      </c>
      <c r="B14" s="52"/>
      <c r="C14" s="12">
        <f>EXP(C8*SQRT(C13))</f>
        <v>1.0187615334868085</v>
      </c>
      <c r="J14" s="1"/>
      <c r="K14" s="1"/>
      <c r="L14" s="1"/>
      <c r="M14" s="1"/>
      <c r="N14" s="1"/>
      <c r="O14" s="1"/>
      <c r="P14" s="1"/>
    </row>
    <row r="15" spans="1:16">
      <c r="A15" s="51" t="s">
        <v>18</v>
      </c>
      <c r="B15" s="52"/>
      <c r="C15" s="12">
        <f>1/C14</f>
        <v>0.98158397930220687</v>
      </c>
      <c r="J15" s="1"/>
      <c r="K15" s="1"/>
      <c r="L15" s="1"/>
      <c r="M15" s="1"/>
      <c r="N15" s="1"/>
      <c r="O15" s="1"/>
      <c r="P15" s="1"/>
    </row>
    <row r="16" spans="1:16">
      <c r="A16" s="53" t="s">
        <v>19</v>
      </c>
      <c r="B16" s="54"/>
      <c r="C16" s="12">
        <f>EXP((C6-C7)*C13)</f>
        <v>1.0001276138859592</v>
      </c>
      <c r="J16" s="1"/>
      <c r="K16" s="1"/>
      <c r="L16" s="1"/>
      <c r="M16" s="1"/>
      <c r="N16" s="1"/>
      <c r="O16" s="1"/>
      <c r="P16" s="1"/>
    </row>
    <row r="17" spans="1:53">
      <c r="A17" s="55" t="s">
        <v>20</v>
      </c>
      <c r="B17" s="56"/>
      <c r="C17" s="12">
        <f>(C16-C15)/(C14-C15)</f>
        <v>0.49878575905439115</v>
      </c>
      <c r="J17" s="1"/>
      <c r="K17" s="1"/>
      <c r="L17" s="1"/>
      <c r="M17" s="1"/>
      <c r="N17" s="1"/>
      <c r="O17" s="1"/>
      <c r="P17" s="1"/>
    </row>
    <row r="18" spans="1:53">
      <c r="A18" s="57" t="s">
        <v>21</v>
      </c>
      <c r="B18" s="58"/>
      <c r="C18" s="12">
        <f>1-C17</f>
        <v>0.50121424094560885</v>
      </c>
      <c r="J18" s="1"/>
      <c r="K18" s="1"/>
      <c r="L18" s="1"/>
      <c r="M18" s="1"/>
      <c r="N18" s="1"/>
      <c r="O18" s="1"/>
      <c r="P18" s="1"/>
    </row>
    <row r="19" spans="1:53">
      <c r="A19" s="55" t="s">
        <v>22</v>
      </c>
      <c r="B19" s="56"/>
      <c r="C19" s="12">
        <f>EXP(-C6*C13)</f>
        <v>0.99983511462308816</v>
      </c>
    </row>
    <row r="21" spans="1:53">
      <c r="A21" s="30" t="s">
        <v>23</v>
      </c>
      <c r="B21" s="30"/>
      <c r="C21" s="30"/>
    </row>
    <row r="22" spans="1:53">
      <c r="A22" s="67" t="s">
        <v>24</v>
      </c>
      <c r="B22" s="68"/>
      <c r="C22" s="1"/>
      <c r="D22" s="1"/>
      <c r="E22" s="1"/>
      <c r="F22" s="1"/>
      <c r="G22" s="1"/>
    </row>
    <row r="23" spans="1:53">
      <c r="A23" s="14" t="s">
        <v>25</v>
      </c>
      <c r="B23" s="1"/>
      <c r="C23" s="1"/>
      <c r="D23" s="1"/>
      <c r="E23" s="1"/>
      <c r="F23" s="1"/>
      <c r="G23" s="1"/>
    </row>
    <row r="24" spans="1:53">
      <c r="A24" s="1"/>
      <c r="B24" s="1"/>
      <c r="C24" s="1"/>
      <c r="D24" s="1"/>
      <c r="E24" s="1"/>
      <c r="F24" s="1"/>
      <c r="G24" s="1"/>
    </row>
    <row r="25" spans="1:53">
      <c r="A25" s="13" t="s">
        <v>26</v>
      </c>
      <c r="B25" s="1"/>
      <c r="C25" s="13" t="s">
        <v>27</v>
      </c>
      <c r="D25" s="1"/>
      <c r="E25" s="13" t="s">
        <v>28</v>
      </c>
      <c r="F25" s="1"/>
      <c r="G25" s="13" t="s">
        <v>29</v>
      </c>
      <c r="I25" s="15" t="s">
        <v>30</v>
      </c>
      <c r="K25" s="15" t="s">
        <v>31</v>
      </c>
      <c r="M25" s="15" t="s">
        <v>32</v>
      </c>
      <c r="O25" s="15" t="s">
        <v>33</v>
      </c>
      <c r="Q25" s="15" t="s">
        <v>34</v>
      </c>
      <c r="S25" s="15" t="s">
        <v>35</v>
      </c>
      <c r="U25" s="15" t="s">
        <v>36</v>
      </c>
      <c r="W25" s="15" t="s">
        <v>37</v>
      </c>
      <c r="Y25" s="15" t="s">
        <v>38</v>
      </c>
      <c r="AA25" s="15" t="s">
        <v>39</v>
      </c>
      <c r="AC25" s="15" t="s">
        <v>40</v>
      </c>
      <c r="AE25" s="15" t="s">
        <v>41</v>
      </c>
      <c r="AG25" s="15" t="s">
        <v>42</v>
      </c>
      <c r="AI25" s="15" t="s">
        <v>43</v>
      </c>
      <c r="AK25" s="15" t="s">
        <v>44</v>
      </c>
      <c r="AM25" s="15" t="s">
        <v>45</v>
      </c>
      <c r="AO25" s="15" t="s">
        <v>46</v>
      </c>
      <c r="AQ25" s="18" t="s">
        <v>47</v>
      </c>
      <c r="AS25" s="18" t="s">
        <v>48</v>
      </c>
      <c r="AU25" s="18" t="s">
        <v>49</v>
      </c>
      <c r="AW25" s="18" t="s">
        <v>50</v>
      </c>
      <c r="AY25" s="20" t="s">
        <v>51</v>
      </c>
      <c r="AZ25" s="18" t="s">
        <v>52</v>
      </c>
      <c r="BA25" s="18"/>
    </row>
    <row r="26" spans="1:53">
      <c r="A26" s="1"/>
      <c r="B26" s="1"/>
      <c r="C26" s="1"/>
      <c r="D26" s="1"/>
      <c r="E26" s="1"/>
      <c r="F26" s="1"/>
      <c r="G26" s="1"/>
    </row>
    <row r="27" spans="1:53">
      <c r="A27" s="13" t="s">
        <v>53</v>
      </c>
      <c r="B27" s="1"/>
      <c r="C27" s="13" t="s">
        <v>54</v>
      </c>
      <c r="D27" s="1"/>
      <c r="E27" s="13" t="s">
        <v>55</v>
      </c>
      <c r="F27" s="1"/>
      <c r="G27" s="13" t="s">
        <v>56</v>
      </c>
      <c r="I27" s="15" t="s">
        <v>57</v>
      </c>
      <c r="K27" s="15" t="s">
        <v>58</v>
      </c>
      <c r="M27" s="15" t="s">
        <v>59</v>
      </c>
      <c r="O27" s="15" t="s">
        <v>60</v>
      </c>
      <c r="Q27" s="16" t="s">
        <v>61</v>
      </c>
      <c r="S27" s="15" t="s">
        <v>62</v>
      </c>
      <c r="U27" s="15" t="s">
        <v>63</v>
      </c>
      <c r="W27" s="15" t="s">
        <v>64</v>
      </c>
      <c r="Y27" s="15" t="s">
        <v>65</v>
      </c>
      <c r="AA27" s="15" t="s">
        <v>66</v>
      </c>
      <c r="AC27" s="15" t="s">
        <v>67</v>
      </c>
      <c r="AE27" s="15" t="s">
        <v>68</v>
      </c>
      <c r="AG27" s="15" t="s">
        <v>69</v>
      </c>
      <c r="AI27" s="15" t="s">
        <v>70</v>
      </c>
      <c r="AK27" s="15" t="s">
        <v>71</v>
      </c>
      <c r="AM27" s="15" t="s">
        <v>72</v>
      </c>
      <c r="AO27" s="15" t="s">
        <v>73</v>
      </c>
      <c r="AQ27" s="18" t="s">
        <v>74</v>
      </c>
      <c r="AS27" s="18" t="s">
        <v>75</v>
      </c>
      <c r="AU27" s="18" t="s">
        <v>76</v>
      </c>
      <c r="AW27" s="18" t="s">
        <v>77</v>
      </c>
      <c r="AY27" s="20" t="s">
        <v>78</v>
      </c>
      <c r="AZ27" s="37" t="s">
        <v>79</v>
      </c>
      <c r="BA27" s="30"/>
    </row>
    <row r="28" spans="1:53">
      <c r="A28" s="14">
        <f>C3</f>
        <v>3303.02</v>
      </c>
      <c r="B28" s="1"/>
      <c r="C28" s="14">
        <f>A28*C14</f>
        <v>3364.9897203375981</v>
      </c>
      <c r="D28" s="1"/>
      <c r="E28" s="14">
        <f>A28*C14^2</f>
        <v>3428.1220876584789</v>
      </c>
      <c r="F28" s="1"/>
      <c r="G28" s="14">
        <f>A28*C14^3</f>
        <v>3492.4389150029519</v>
      </c>
      <c r="I28" s="15">
        <f>A28*C14^4</f>
        <v>3557.9624246574126</v>
      </c>
      <c r="K28" s="15">
        <f>A28*C14^5</f>
        <v>3624.7152558324296</v>
      </c>
      <c r="M28" s="15">
        <f>A28*C14^6</f>
        <v>3692.7204724848752</v>
      </c>
      <c r="O28" s="15">
        <f>A28*C14^7</f>
        <v>3762.0015712868239</v>
      </c>
      <c r="Q28" s="15">
        <f>A28*C14^8</f>
        <v>3832.5824897439484</v>
      </c>
      <c r="S28" s="15">
        <f>A28*C14^9</f>
        <v>3904.4876144662353</v>
      </c>
      <c r="U28" s="15">
        <f>A28*C14^10</f>
        <v>3977.7417895938734</v>
      </c>
      <c r="W28" s="15">
        <f>A28*C14^11</f>
        <v>4052.3703253812168</v>
      </c>
      <c r="Y28" s="15">
        <f>A28*C14^12</f>
        <v>4128.399006941806</v>
      </c>
      <c r="AA28" s="15">
        <f>A28*C14^13</f>
        <v>4205.8541031574523</v>
      </c>
      <c r="AC28" s="15">
        <f>A28*C14^14</f>
        <v>4284.7623757544716</v>
      </c>
      <c r="AE28" s="15">
        <f>A28*C14^15</f>
        <v>4365.1510885502066</v>
      </c>
      <c r="AG28" s="15">
        <f>A28*C14^16</f>
        <v>4447.0480168730201</v>
      </c>
      <c r="AI28" s="15">
        <f>A28*C14^17</f>
        <v>4530.4814571590287</v>
      </c>
      <c r="AK28" s="15">
        <f>A28*C14^18</f>
        <v>4615.4802367288839</v>
      </c>
      <c r="AM28" s="15">
        <f>A28*C14^19</f>
        <v>4702.0737237479761</v>
      </c>
      <c r="AO28" s="15">
        <f>A28*C14^20</f>
        <v>4790.2918373735156</v>
      </c>
      <c r="AQ28" s="18">
        <f>A28*C14^21</f>
        <v>4880.165058091985</v>
      </c>
      <c r="AS28" s="18">
        <f>A28*C14^22</f>
        <v>4971.7244382505305</v>
      </c>
      <c r="AU28" s="18">
        <f>A28*C14^23</f>
        <v>5065.0016127859526</v>
      </c>
      <c r="AW28" s="18">
        <f>A28*C14^24</f>
        <v>5160.0288101549759</v>
      </c>
      <c r="AY28" s="20">
        <f>A28*C14^25</f>
        <v>5256.8388634695948</v>
      </c>
      <c r="AZ28" s="18">
        <f>IF(G3 = "CALL",MAX(AY28-C4,0),MAX(C4-AY28))</f>
        <v>-1856.8388634695948</v>
      </c>
    </row>
    <row r="29" spans="1:53">
      <c r="A29" s="1"/>
      <c r="B29" s="1"/>
      <c r="C29" s="1"/>
      <c r="D29" s="1"/>
      <c r="E29" s="1"/>
      <c r="F29" s="1"/>
      <c r="G29" s="1"/>
    </row>
    <row r="30" spans="1:53">
      <c r="A30" s="1"/>
      <c r="B30" s="1"/>
      <c r="C30" s="13" t="s">
        <v>80</v>
      </c>
      <c r="D30" s="1"/>
      <c r="E30" s="13" t="s">
        <v>81</v>
      </c>
      <c r="F30" s="1"/>
      <c r="G30" s="13" t="s">
        <v>82</v>
      </c>
      <c r="I30" s="15" t="s">
        <v>83</v>
      </c>
      <c r="K30" s="15" t="s">
        <v>84</v>
      </c>
      <c r="M30" s="15" t="s">
        <v>85</v>
      </c>
      <c r="O30" s="15" t="s">
        <v>86</v>
      </c>
      <c r="Q30" s="15" t="s">
        <v>87</v>
      </c>
      <c r="S30" s="15" t="s">
        <v>88</v>
      </c>
      <c r="U30" s="15" t="s">
        <v>89</v>
      </c>
      <c r="W30" s="15" t="s">
        <v>90</v>
      </c>
      <c r="Y30" s="15" t="s">
        <v>91</v>
      </c>
      <c r="AA30" s="15" t="s">
        <v>92</v>
      </c>
      <c r="AC30" s="15" t="s">
        <v>93</v>
      </c>
      <c r="AE30" s="15" t="s">
        <v>94</v>
      </c>
      <c r="AG30" s="15" t="s">
        <v>95</v>
      </c>
      <c r="AI30" s="15" t="s">
        <v>96</v>
      </c>
      <c r="AK30" s="15" t="s">
        <v>97</v>
      </c>
      <c r="AM30" s="15" t="s">
        <v>98</v>
      </c>
      <c r="AO30" s="15" t="s">
        <v>99</v>
      </c>
      <c r="AQ30" s="18" t="s">
        <v>73</v>
      </c>
      <c r="AS30" s="18" t="s">
        <v>100</v>
      </c>
      <c r="AU30" s="18" t="s">
        <v>101</v>
      </c>
      <c r="AW30" s="18" t="s">
        <v>102</v>
      </c>
      <c r="AY30" s="20" t="s">
        <v>103</v>
      </c>
      <c r="AZ30" s="65" t="s">
        <v>104</v>
      </c>
      <c r="BA30" s="66"/>
    </row>
    <row r="31" spans="1:53">
      <c r="A31" s="1"/>
      <c r="B31" s="1"/>
      <c r="C31" s="14">
        <f>A28*C15</f>
        <v>3242.1915153147752</v>
      </c>
      <c r="D31" s="1"/>
      <c r="E31" s="14">
        <f>A28*C14*C15</f>
        <v>3303.02</v>
      </c>
      <c r="F31" s="1"/>
      <c r="G31" s="14">
        <f>A28*C14^2*C15</f>
        <v>3364.9897203375986</v>
      </c>
      <c r="I31" s="15">
        <f>A28*C14^3*C15</f>
        <v>3428.1220876584794</v>
      </c>
      <c r="K31" s="15">
        <f>A28*C15*C14^4</f>
        <v>3492.4389150029515</v>
      </c>
      <c r="M31" s="15">
        <f>A28*C14^5*C15</f>
        <v>3557.9624246574131</v>
      </c>
      <c r="O31" s="15">
        <f>A28*C15*C14^6</f>
        <v>3624.7152558324292</v>
      </c>
      <c r="Q31" s="15">
        <f>A28*C15*C14^7</f>
        <v>3692.7204724848757</v>
      </c>
      <c r="S31" s="15">
        <f>A28*C15*C14^8</f>
        <v>3762.0015712868239</v>
      </c>
      <c r="U31" s="15">
        <f>A28*C14^9*C15</f>
        <v>3832.5824897439484</v>
      </c>
      <c r="W31" s="15">
        <f>A28*C15*C14^10</f>
        <v>3904.4876144662358</v>
      </c>
      <c r="Y31" s="15">
        <f>A28*C15*C14^11</f>
        <v>3977.7417895938734</v>
      </c>
      <c r="AA31" s="15">
        <f>A28*C15*C14^12</f>
        <v>4052.3703253812168</v>
      </c>
      <c r="AC31" s="15">
        <f>A28*C15*C14^13</f>
        <v>4128.399006941806</v>
      </c>
      <c r="AE31" s="15">
        <f>A28*C15^1*C14^14</f>
        <v>4205.8541031574514</v>
      </c>
      <c r="AG31" s="15">
        <f>A28*C15*C14^15</f>
        <v>4284.7623757544716</v>
      </c>
      <c r="AI31" s="15">
        <f>A28*C15*C14^16</f>
        <v>4365.1510885502066</v>
      </c>
      <c r="AK31" s="15">
        <f>A28*C15*C14^17</f>
        <v>4447.0480168730201</v>
      </c>
      <c r="AM31" s="15">
        <f>A28*C15*C14^18</f>
        <v>4530.4814571590296</v>
      </c>
      <c r="AO31" s="15">
        <f>A28*C14^19*C15</f>
        <v>4615.4802367288839</v>
      </c>
      <c r="AQ31" s="18">
        <f>A28*C15*C14^20</f>
        <v>4702.0737237479752</v>
      </c>
      <c r="AS31" s="18">
        <f>A28*C15^1*C14^21</f>
        <v>4790.2918373735156</v>
      </c>
      <c r="AU31" s="18">
        <f>A28*C15*C14^22</f>
        <v>4880.165058091985</v>
      </c>
      <c r="AW31" s="18">
        <f>A28*C15*C14^23</f>
        <v>4971.7244382505314</v>
      </c>
      <c r="AY31" s="20">
        <f>A28*C15*C14^24</f>
        <v>5065.0016127859526</v>
      </c>
      <c r="AZ31" s="18">
        <f>IF(G3 = "CALL",MAX(AY31-C4,0),MAX(C4-AY31))</f>
        <v>-1665.0016127859526</v>
      </c>
    </row>
    <row r="32" spans="1:53">
      <c r="A32" s="1"/>
      <c r="B32" s="1"/>
      <c r="C32" s="1"/>
      <c r="D32" s="1"/>
      <c r="E32" s="1"/>
      <c r="F32" s="1"/>
      <c r="G32" s="1"/>
    </row>
    <row r="33" spans="1:53">
      <c r="A33" s="1"/>
      <c r="B33" s="1"/>
      <c r="C33" s="1"/>
      <c r="D33" s="1"/>
      <c r="E33" s="13" t="s">
        <v>105</v>
      </c>
      <c r="F33" s="1"/>
      <c r="G33" s="13" t="s">
        <v>106</v>
      </c>
      <c r="I33" s="15" t="s">
        <v>107</v>
      </c>
      <c r="K33" s="15" t="s">
        <v>108</v>
      </c>
      <c r="M33" s="15" t="s">
        <v>109</v>
      </c>
      <c r="O33" s="15" t="s">
        <v>110</v>
      </c>
      <c r="Q33" s="15" t="s">
        <v>111</v>
      </c>
      <c r="S33" s="15" t="s">
        <v>112</v>
      </c>
      <c r="U33" s="15" t="s">
        <v>113</v>
      </c>
      <c r="W33" s="15" t="s">
        <v>114</v>
      </c>
      <c r="Y33" s="15" t="s">
        <v>115</v>
      </c>
      <c r="AA33" s="15" t="s">
        <v>116</v>
      </c>
      <c r="AC33" s="15" t="s">
        <v>117</v>
      </c>
      <c r="AE33" s="15" t="s">
        <v>118</v>
      </c>
      <c r="AG33" s="15" t="s">
        <v>119</v>
      </c>
      <c r="AI33" s="15" t="s">
        <v>120</v>
      </c>
      <c r="AK33" s="15" t="s">
        <v>121</v>
      </c>
      <c r="AM33" s="15" t="s">
        <v>122</v>
      </c>
      <c r="AO33" s="15" t="s">
        <v>123</v>
      </c>
      <c r="AQ33" s="18" t="s">
        <v>99</v>
      </c>
      <c r="AS33" s="18" t="s">
        <v>73</v>
      </c>
      <c r="AU33" s="18" t="s">
        <v>100</v>
      </c>
      <c r="AW33" s="18" t="s">
        <v>101</v>
      </c>
      <c r="AY33" s="20" t="s">
        <v>102</v>
      </c>
      <c r="AZ33" s="65" t="s">
        <v>124</v>
      </c>
      <c r="BA33" s="66"/>
    </row>
    <row r="34" spans="1:53">
      <c r="A34" s="1"/>
      <c r="B34" s="1"/>
      <c r="C34" s="1"/>
      <c r="D34" s="1"/>
      <c r="E34" s="14">
        <f>A28*C15^2</f>
        <v>3182.4832492625292</v>
      </c>
      <c r="F34" s="1"/>
      <c r="G34" s="14">
        <f>A28*C14*C15^2</f>
        <v>3242.1915153147752</v>
      </c>
      <c r="I34" s="15">
        <f>A28*C14^2*C15^2</f>
        <v>3303.0200000000004</v>
      </c>
      <c r="K34" s="15">
        <f>A28*C15^2*C14^3</f>
        <v>3364.989720337599</v>
      </c>
      <c r="M34" s="15">
        <f>A28*C15^2*C14^4</f>
        <v>3428.1220876584789</v>
      </c>
      <c r="O34" s="15">
        <f>A28*C15^2*C14^5</f>
        <v>3492.4389150029519</v>
      </c>
      <c r="Q34" s="15">
        <f>A28*C15^2*C14^6</f>
        <v>3557.9624246574131</v>
      </c>
      <c r="S34" s="15">
        <f>A28*C15^2*C14^7</f>
        <v>3624.7152558324296</v>
      </c>
      <c r="U34" s="15">
        <f>A28*C15^2*C14^8</f>
        <v>3692.7204724848757</v>
      </c>
      <c r="W34" s="15">
        <f>A28*C15^2*C14^9</f>
        <v>3762.0015712868239</v>
      </c>
      <c r="Y34" s="15">
        <f>A28*C15^2*C14^10</f>
        <v>3832.5824897439488</v>
      </c>
      <c r="AA34" s="15">
        <f>A28*C15^2*C14^11</f>
        <v>3904.4876144662362</v>
      </c>
      <c r="AC34" s="15">
        <f>A28*C15^2*C14^12</f>
        <v>3977.7417895938738</v>
      </c>
      <c r="AE34" s="15">
        <f>A28*C15^2*C14^13</f>
        <v>4052.3703253812173</v>
      </c>
      <c r="AG34" s="15">
        <f>A28*C15^2*C14^14</f>
        <v>4128.399006941806</v>
      </c>
      <c r="AI34" s="15">
        <f>A28*C15^2*C14^15</f>
        <v>4205.8541031574523</v>
      </c>
      <c r="AK34" s="15">
        <f>A28*C15^2*C14^16</f>
        <v>4284.7623757544725</v>
      </c>
      <c r="AM34" s="15">
        <f>A28*C15^2*C14^17</f>
        <v>4365.1510885502066</v>
      </c>
      <c r="AO34" s="15">
        <f>A28*C15^2*C14^18</f>
        <v>4447.048016873021</v>
      </c>
      <c r="AQ34" s="18">
        <f>A28*C15^2*C14^19</f>
        <v>4530.4814571590296</v>
      </c>
      <c r="AS34" s="18">
        <f>A28*C15^2*C14^20</f>
        <v>4615.4802367288839</v>
      </c>
      <c r="AU34" s="18">
        <f>A28*C15^2*C14^21</f>
        <v>4702.0737237479761</v>
      </c>
      <c r="AW34" s="18">
        <f>A28*C15^2*C14^22</f>
        <v>4790.2918373735165</v>
      </c>
      <c r="AY34" s="20">
        <f>A28*C15^2*C14^23</f>
        <v>4880.1650580919859</v>
      </c>
      <c r="AZ34" s="18">
        <f>IF(G3 = "CALL",MAX(AY34-C4,0),MAX(C4-AY34))</f>
        <v>-1480.1650580919859</v>
      </c>
    </row>
    <row r="35" spans="1:53">
      <c r="A35" s="38" t="s">
        <v>125</v>
      </c>
      <c r="B35" s="38"/>
      <c r="C35" s="1"/>
      <c r="D35" s="1"/>
      <c r="E35" s="1"/>
      <c r="F35" s="1"/>
      <c r="G35" s="1"/>
    </row>
    <row r="36" spans="1:53">
      <c r="A36" s="1"/>
      <c r="B36" s="1"/>
      <c r="C36" s="1"/>
      <c r="D36" s="1"/>
      <c r="F36" s="1"/>
      <c r="G36" s="13" t="s">
        <v>126</v>
      </c>
      <c r="I36" s="15" t="s">
        <v>127</v>
      </c>
      <c r="K36" s="15" t="s">
        <v>128</v>
      </c>
      <c r="M36" s="15" t="s">
        <v>129</v>
      </c>
      <c r="O36" s="15" t="s">
        <v>130</v>
      </c>
      <c r="Q36" s="15" t="s">
        <v>131</v>
      </c>
      <c r="S36" s="15" t="s">
        <v>132</v>
      </c>
      <c r="U36" s="15" t="s">
        <v>133</v>
      </c>
      <c r="W36" s="15" t="s">
        <v>134</v>
      </c>
      <c r="Y36" s="15" t="s">
        <v>135</v>
      </c>
      <c r="AA36" s="15" t="s">
        <v>136</v>
      </c>
      <c r="AC36" s="15" t="s">
        <v>137</v>
      </c>
      <c r="AE36" s="15" t="s">
        <v>138</v>
      </c>
      <c r="AG36" s="15" t="s">
        <v>139</v>
      </c>
      <c r="AI36" s="15" t="s">
        <v>140</v>
      </c>
      <c r="AK36" s="15" t="s">
        <v>141</v>
      </c>
      <c r="AM36" s="15" t="s">
        <v>142</v>
      </c>
      <c r="AO36" s="15" t="s">
        <v>143</v>
      </c>
      <c r="AQ36" s="18" t="s">
        <v>123</v>
      </c>
      <c r="AS36" s="18" t="s">
        <v>99</v>
      </c>
      <c r="AU36" s="18" t="s">
        <v>73</v>
      </c>
      <c r="AW36" s="18" t="s">
        <v>100</v>
      </c>
      <c r="AY36" s="20" t="s">
        <v>101</v>
      </c>
      <c r="AZ36" s="65" t="s">
        <v>144</v>
      </c>
      <c r="BA36" s="66"/>
    </row>
    <row r="37" spans="1:53">
      <c r="A37" s="39" t="s">
        <v>145</v>
      </c>
      <c r="B37" s="69"/>
      <c r="C37" s="1"/>
      <c r="D37" s="1"/>
      <c r="E37" s="1"/>
      <c r="F37" s="1"/>
      <c r="G37" s="14">
        <f>A28*C15^3</f>
        <v>3123.8745718737305</v>
      </c>
      <c r="I37" s="15">
        <f>A28*C14*C15^3</f>
        <v>3182.4832492625292</v>
      </c>
      <c r="K37" s="15">
        <f>A28*C14^2*C15^3</f>
        <v>3242.1915153147756</v>
      </c>
      <c r="M37" s="15">
        <f>A28*C15^3*C14^3</f>
        <v>3303.0200000000004</v>
      </c>
      <c r="O37" s="15">
        <f>A28*C15^3*C14^4</f>
        <v>3364.9897203375986</v>
      </c>
      <c r="Q37" s="15">
        <f>A28*C15^3*C14^5</f>
        <v>3428.1220876584794</v>
      </c>
      <c r="S37" s="15">
        <f>A28*C15^3*C14^6</f>
        <v>3492.4389150029519</v>
      </c>
      <c r="U37" s="15">
        <f>A28*C15^3*C14^7</f>
        <v>3557.9624246574131</v>
      </c>
      <c r="W37" s="15">
        <f>A28*C15^3*C14^8</f>
        <v>3624.7152558324301</v>
      </c>
      <c r="Y37" s="15">
        <f>A28*C15^3*C14^9</f>
        <v>3692.7204724848757</v>
      </c>
      <c r="AA37" s="15">
        <f>A28*C14^10*C15^3</f>
        <v>3762.0015712868249</v>
      </c>
      <c r="AC37" s="15">
        <f>A28*C15^3*C14^11</f>
        <v>3832.5824897439488</v>
      </c>
      <c r="AE37" s="15">
        <f>A28*C15^3*C14^12</f>
        <v>3904.4876144662362</v>
      </c>
      <c r="AG37" s="15">
        <f>A28*C15^3*C14^13</f>
        <v>3977.7417895938738</v>
      </c>
      <c r="AI37" s="15">
        <f>A28*C15^3*C14^14</f>
        <v>4052.3703253812173</v>
      </c>
      <c r="AK37" s="15">
        <f>A28*C15^3*C14^15</f>
        <v>4128.3990069418069</v>
      </c>
      <c r="AM37" s="15">
        <f>A28*C15^3*C14^16</f>
        <v>4205.8541031574523</v>
      </c>
      <c r="AO37" s="15">
        <f>A28*C15^3*C14^17</f>
        <v>4284.7623757544716</v>
      </c>
      <c r="AQ37" s="18">
        <f>A28*C15^3*C14^18</f>
        <v>4365.1510885502075</v>
      </c>
      <c r="AS37" s="18">
        <f>A28*C15^3*C14^19</f>
        <v>4447.048016873021</v>
      </c>
      <c r="AU37" s="18">
        <f>A28*C15^3*C14^20</f>
        <v>4530.4814571590296</v>
      </c>
      <c r="AW37" s="18">
        <f>A28*C15^3*C14^21</f>
        <v>4615.4802367288839</v>
      </c>
      <c r="AY37" s="20">
        <f>A28*C15^3*C14^22</f>
        <v>4702.0737237479761</v>
      </c>
      <c r="AZ37" s="18">
        <f>IF(G3 = "CALL",MAX(AY37-C4,0),MAX(C4-AY37))</f>
        <v>-1302.0737237479761</v>
      </c>
    </row>
    <row r="39" spans="1:53">
      <c r="A39" s="37" t="s">
        <v>146</v>
      </c>
      <c r="B39" s="37"/>
      <c r="C39" s="37"/>
      <c r="I39" s="15" t="s">
        <v>147</v>
      </c>
      <c r="K39" s="15" t="s">
        <v>148</v>
      </c>
      <c r="M39" s="15" t="s">
        <v>149</v>
      </c>
      <c r="O39" s="15" t="s">
        <v>150</v>
      </c>
      <c r="Q39" s="15" t="s">
        <v>151</v>
      </c>
      <c r="S39" s="15" t="s">
        <v>152</v>
      </c>
      <c r="U39" s="15" t="s">
        <v>153</v>
      </c>
      <c r="W39" s="15" t="s">
        <v>154</v>
      </c>
      <c r="Y39" s="15" t="s">
        <v>155</v>
      </c>
      <c r="AA39" s="15" t="s">
        <v>156</v>
      </c>
      <c r="AC39" s="15" t="s">
        <v>157</v>
      </c>
      <c r="AE39" s="15" t="s">
        <v>158</v>
      </c>
      <c r="AG39" s="15" t="s">
        <v>159</v>
      </c>
      <c r="AI39" s="15" t="s">
        <v>160</v>
      </c>
      <c r="AK39" s="15" t="s">
        <v>161</v>
      </c>
      <c r="AM39" s="15" t="s">
        <v>162</v>
      </c>
      <c r="AO39" s="15" t="s">
        <v>163</v>
      </c>
      <c r="AQ39" s="18" t="s">
        <v>143</v>
      </c>
      <c r="AS39" s="18" t="s">
        <v>123</v>
      </c>
      <c r="AU39" s="18" t="s">
        <v>99</v>
      </c>
      <c r="AW39" s="18" t="s">
        <v>73</v>
      </c>
      <c r="AY39" s="20" t="s">
        <v>100</v>
      </c>
      <c r="AZ39" s="65" t="s">
        <v>164</v>
      </c>
      <c r="BA39" s="66"/>
    </row>
    <row r="40" spans="1:53">
      <c r="A40" s="37" t="s">
        <v>165</v>
      </c>
      <c r="B40" s="33"/>
      <c r="C40" s="19">
        <f>C19*(C17*AZ28 + C18*AZ31)</f>
        <v>-1760.3969898937717</v>
      </c>
      <c r="I40" s="15">
        <f>A28*C15^4</f>
        <v>3066.3452331007943</v>
      </c>
      <c r="K40" s="15">
        <f>A28*C14*C15^4</f>
        <v>3123.8745718737305</v>
      </c>
      <c r="M40" s="15">
        <f>A28*C15^4*C14^2</f>
        <v>3182.4832492625296</v>
      </c>
      <c r="O40" s="15">
        <f>A28*C15^4*C14^3</f>
        <v>3242.1915153147761</v>
      </c>
      <c r="Q40" s="15">
        <f>A28*C14^4*C15^4</f>
        <v>3303.0200000000004</v>
      </c>
      <c r="S40" s="15">
        <f>A28*C15^4*C14^5</f>
        <v>3364.989720337599</v>
      </c>
      <c r="U40" s="15">
        <f>A28*C15^4*C14^6</f>
        <v>3428.1220876584794</v>
      </c>
      <c r="W40" s="15">
        <f>A28*C15^4*C14^7</f>
        <v>3492.4389150029524</v>
      </c>
      <c r="Y40" s="15">
        <f>A28*C15^4*C14^8</f>
        <v>3557.9624246574135</v>
      </c>
      <c r="AA40" s="15">
        <f>A28*C14^9*C15^4</f>
        <v>3624.7152558324301</v>
      </c>
      <c r="AC40" s="15">
        <f>A28*C15^4*C14^10</f>
        <v>3692.7204724848766</v>
      </c>
      <c r="AE40" s="15">
        <f>A28*C15^4*C14^11</f>
        <v>3762.0015712868249</v>
      </c>
      <c r="AG40" s="15">
        <f>A28*C15^4*C14^12</f>
        <v>3832.5824897439493</v>
      </c>
      <c r="AI40" s="15">
        <f>A28*C15^4*C14^13</f>
        <v>3904.4876144662367</v>
      </c>
      <c r="AK40" s="15">
        <f>A28*C15^4*C14^14</f>
        <v>3977.7417895938738</v>
      </c>
      <c r="AM40" s="15">
        <f>A28*C15^4*C14^15</f>
        <v>4052.3703253812178</v>
      </c>
      <c r="AO40" s="15">
        <f>A28*C15^4*C14^16</f>
        <v>4128.3990069418069</v>
      </c>
      <c r="AQ40" s="18">
        <f>A28*C15^4*C14^17</f>
        <v>4205.8541031574523</v>
      </c>
      <c r="AS40" s="18">
        <f>A28*C15^4*C14^18</f>
        <v>4284.7623757544725</v>
      </c>
      <c r="AU40" s="18">
        <f>A28*C15^4*C14^19</f>
        <v>4365.1510885502075</v>
      </c>
      <c r="AW40" s="18">
        <f>A28*C15^4*C14^20</f>
        <v>4447.048016873021</v>
      </c>
      <c r="AY40" s="20">
        <f>A28*C15^4*C14^21</f>
        <v>4530.4814571590296</v>
      </c>
      <c r="AZ40" s="18">
        <f>IF(G3 = "CALL",MAX(AY40-C4,0),MAX(C4-AY40))</f>
        <v>-1130.4814571590296</v>
      </c>
    </row>
    <row r="41" spans="1:53">
      <c r="A41" s="37" t="s">
        <v>166</v>
      </c>
      <c r="B41" s="33"/>
      <c r="C41" s="19">
        <f xml:space="preserve"> IF(G3 = "call",MAX(AW28 - C4),MAX(C4 - AW28))</f>
        <v>-1760.0288101549759</v>
      </c>
    </row>
    <row r="42" spans="1:53">
      <c r="A42" s="30" t="s">
        <v>167</v>
      </c>
      <c r="B42" s="27"/>
      <c r="C42" s="18">
        <f>MAX(C40,C41)</f>
        <v>-1760.0288101549759</v>
      </c>
      <c r="E42" s="30" t="s">
        <v>168</v>
      </c>
      <c r="F42" s="30"/>
      <c r="K42" s="15" t="s">
        <v>169</v>
      </c>
      <c r="M42" s="15" t="s">
        <v>170</v>
      </c>
      <c r="O42" s="15" t="s">
        <v>171</v>
      </c>
      <c r="Q42" s="15" t="s">
        <v>172</v>
      </c>
      <c r="S42" s="15" t="s">
        <v>173</v>
      </c>
      <c r="U42" s="15" t="s">
        <v>174</v>
      </c>
      <c r="W42" s="15" t="s">
        <v>175</v>
      </c>
      <c r="Y42" s="15" t="s">
        <v>176</v>
      </c>
      <c r="AA42" s="15" t="s">
        <v>177</v>
      </c>
      <c r="AC42" s="15" t="s">
        <v>178</v>
      </c>
      <c r="AE42" s="15" t="s">
        <v>179</v>
      </c>
      <c r="AG42" s="15" t="s">
        <v>180</v>
      </c>
      <c r="AI42" s="15" t="s">
        <v>181</v>
      </c>
      <c r="AK42" s="15" t="s">
        <v>182</v>
      </c>
      <c r="AM42" s="15" t="s">
        <v>183</v>
      </c>
      <c r="AO42" s="15" t="s">
        <v>184</v>
      </c>
      <c r="AQ42" s="18" t="s">
        <v>163</v>
      </c>
      <c r="AS42" s="18" t="s">
        <v>143</v>
      </c>
      <c r="AU42" s="18" t="s">
        <v>123</v>
      </c>
      <c r="AW42" s="18" t="s">
        <v>99</v>
      </c>
      <c r="AY42" s="20" t="s">
        <v>73</v>
      </c>
      <c r="AZ42" s="65" t="s">
        <v>185</v>
      </c>
      <c r="BA42" s="66"/>
    </row>
    <row r="43" spans="1:53">
      <c r="K43" s="15">
        <f>A28*C15^5</f>
        <v>3009.8753558214312</v>
      </c>
      <c r="M43" s="15">
        <f>A28*C15^5*C14</f>
        <v>3066.3452331007948</v>
      </c>
      <c r="O43" s="15">
        <f>A28*C15^5*C14^2</f>
        <v>3123.8745718737314</v>
      </c>
      <c r="Q43" s="15">
        <f>A28*C15^5*C14^3</f>
        <v>3182.4832492625301</v>
      </c>
      <c r="S43" s="15">
        <f>A28*C15^5*C14^4</f>
        <v>3242.1915153147761</v>
      </c>
      <c r="U43" s="15">
        <f>A28*C15^5*C14^5</f>
        <v>3303.0200000000013</v>
      </c>
      <c r="W43" s="15">
        <f>A28*C15^5*C14^6</f>
        <v>3364.9897203375995</v>
      </c>
      <c r="Y43" s="15">
        <f>A28*C15^5*C14^7</f>
        <v>3428.1220876584803</v>
      </c>
      <c r="AA43" s="15">
        <f>A28*C14^8*C15*5</f>
        <v>18810.007856434124</v>
      </c>
      <c r="AC43" s="15">
        <f>A28*C15^5*C14^9</f>
        <v>3557.9624246574135</v>
      </c>
      <c r="AE43" s="15">
        <f>A28*C15^5*C14^10</f>
        <v>3624.715255832431</v>
      </c>
      <c r="AG43" s="15">
        <f>A28*C15^5*C14^11</f>
        <v>3692.7204724848771</v>
      </c>
      <c r="AI43" s="15">
        <f>A28*C15^5*C14^12</f>
        <v>3762.0015712868258</v>
      </c>
      <c r="AK43" s="15">
        <f>A28*C15^5*C14^13</f>
        <v>3832.5824897439502</v>
      </c>
      <c r="AM43" s="15">
        <f>A28*C15^5*C14^14</f>
        <v>3904.4876144662371</v>
      </c>
      <c r="AO43" s="15">
        <f>A28*C15^5*C14^15</f>
        <v>3977.7417895938752</v>
      </c>
      <c r="AQ43" s="18">
        <f>A28*C15^5*C14^16</f>
        <v>4052.3703253812182</v>
      </c>
      <c r="AS43" s="18">
        <f>A28*C15^5*C14^17</f>
        <v>4128.3990069418069</v>
      </c>
      <c r="AU43" s="18">
        <f>A28*C15^5*C14^18</f>
        <v>4205.8541031574541</v>
      </c>
      <c r="AW43" s="18">
        <f>A28*C15^5*C14^19</f>
        <v>4284.7623757544734</v>
      </c>
      <c r="AY43" s="20">
        <f>A28*C15^5*C14^20</f>
        <v>4365.1510885502075</v>
      </c>
      <c r="AZ43" s="18">
        <f>IF(G3 = "CALL",MAX(AY43-C4,0),MAX(C4-AY43))</f>
        <v>-965.15108855020753</v>
      </c>
    </row>
    <row r="44" spans="1:53">
      <c r="A44" s="37" t="s">
        <v>186</v>
      </c>
      <c r="B44" s="37"/>
      <c r="C44" s="37"/>
      <c r="E44" s="37" t="s">
        <v>187</v>
      </c>
      <c r="F44" s="37"/>
      <c r="G44" s="37"/>
    </row>
    <row r="45" spans="1:53">
      <c r="A45" s="37" t="s">
        <v>165</v>
      </c>
      <c r="B45" s="33"/>
      <c r="C45" s="19">
        <f>C19*(C17*AZ31 + C18*AZ34)</f>
        <v>-1572.0996403362585</v>
      </c>
      <c r="E45" s="30" t="s">
        <v>188</v>
      </c>
      <c r="F45" s="27"/>
      <c r="G45" s="18">
        <f>C19*(C17*C40 + C18*C45)</f>
        <v>-1665.7449744808871</v>
      </c>
      <c r="M45" s="15" t="s">
        <v>189</v>
      </c>
      <c r="O45" s="15" t="s">
        <v>190</v>
      </c>
      <c r="Q45" s="15" t="s">
        <v>191</v>
      </c>
      <c r="S45" s="15" t="s">
        <v>192</v>
      </c>
      <c r="U45" s="15" t="s">
        <v>193</v>
      </c>
      <c r="W45" s="15" t="s">
        <v>194</v>
      </c>
      <c r="Y45" s="15" t="s">
        <v>195</v>
      </c>
      <c r="AA45" s="15" t="s">
        <v>196</v>
      </c>
      <c r="AC45" s="15" t="s">
        <v>197</v>
      </c>
      <c r="AE45" s="15" t="s">
        <v>198</v>
      </c>
      <c r="AG45" s="15" t="s">
        <v>199</v>
      </c>
      <c r="AI45" s="15" t="s">
        <v>200</v>
      </c>
      <c r="AK45" s="15" t="s">
        <v>201</v>
      </c>
      <c r="AM45" s="15" t="s">
        <v>202</v>
      </c>
      <c r="AO45" s="15" t="s">
        <v>203</v>
      </c>
      <c r="AQ45" s="18" t="s">
        <v>184</v>
      </c>
      <c r="AS45" s="18" t="s">
        <v>163</v>
      </c>
      <c r="AU45" s="18" t="s">
        <v>143</v>
      </c>
      <c r="AW45" s="18" t="s">
        <v>123</v>
      </c>
      <c r="AY45" s="20" t="s">
        <v>99</v>
      </c>
      <c r="AZ45" s="65" t="s">
        <v>204</v>
      </c>
      <c r="BA45" s="66"/>
    </row>
    <row r="46" spans="1:53">
      <c r="A46" s="37" t="s">
        <v>166</v>
      </c>
      <c r="B46" s="33"/>
      <c r="C46" s="19">
        <f xml:space="preserve"> IF(G3 = "call",MAX(AW31 - C4),MAX(C4 - AW31))</f>
        <v>-1571.7244382505314</v>
      </c>
      <c r="E46" s="38" t="s">
        <v>205</v>
      </c>
      <c r="F46" s="39"/>
      <c r="G46" s="18">
        <f xml:space="preserve"> IF(G3 = "call",MAX(AU28 - C4),MAX(C4 - AU28))</f>
        <v>-1665.0016127859526</v>
      </c>
      <c r="M46" s="15">
        <f>A28*C15^6</f>
        <v>2954.445428970846</v>
      </c>
      <c r="O46" s="15">
        <f>A28*C15^6*C14</f>
        <v>3009.8753558214312</v>
      </c>
      <c r="Q46" s="15">
        <f>A28*C15^6*C14^2</f>
        <v>3066.3452331007948</v>
      </c>
      <c r="S46" s="15">
        <f>A28*C15^6*C14^3</f>
        <v>3123.8745718737314</v>
      </c>
      <c r="U46" s="15">
        <f>A28*C15^6*C14^4</f>
        <v>3182.4832492625296</v>
      </c>
      <c r="W46" s="15">
        <f>A28*C15^6*C14^5</f>
        <v>3242.1915153147761</v>
      </c>
      <c r="Y46" s="15">
        <f>A28*C15^6*C14^6</f>
        <v>3303.0200000000009</v>
      </c>
      <c r="AA46" s="15">
        <f>A28*C14^7*C15^6</f>
        <v>3364.9897203375995</v>
      </c>
      <c r="AC46" s="15">
        <f>A28*C15^6*C14^8</f>
        <v>3428.1220876584798</v>
      </c>
      <c r="AE46" s="15">
        <f>A28*C15^6*C14^9</f>
        <v>3492.4389150029524</v>
      </c>
      <c r="AG46" s="15">
        <f>A28*C15^6*C14^10</f>
        <v>3557.9624246574144</v>
      </c>
      <c r="AI46" s="15">
        <f>A28*C15^6*C14^11</f>
        <v>3624.715255832431</v>
      </c>
      <c r="AK46" s="15">
        <f>A28*C15^6*C14^12</f>
        <v>3692.7204724848771</v>
      </c>
      <c r="AM46" s="15">
        <f>A28*C15^6*C14^13</f>
        <v>3762.0015712868258</v>
      </c>
      <c r="AO46" s="15">
        <f>A28*C15^6*C14^14</f>
        <v>3832.5824897439497</v>
      </c>
      <c r="AQ46" s="18">
        <f>A28*C15^6*C14^15</f>
        <v>3904.4876144662371</v>
      </c>
      <c r="AS46" s="18">
        <f>A28*C15^6*C14^16</f>
        <v>3977.7417895938747</v>
      </c>
      <c r="AU46" s="18">
        <f>A28*C15^6*C14^17</f>
        <v>4052.3703253812178</v>
      </c>
      <c r="AW46" s="18">
        <f>A28*C15^6*C14^18</f>
        <v>4128.3990069418078</v>
      </c>
      <c r="AY46" s="20">
        <f>A28*C15^6*C14^19</f>
        <v>4205.8541031574532</v>
      </c>
      <c r="AZ46" s="18">
        <f>IF(G3 = "CALL",MAX(AY46-C4,0),MAX(C4-AY46))</f>
        <v>-805.85410315745321</v>
      </c>
    </row>
    <row r="47" spans="1:53">
      <c r="A47" s="30" t="s">
        <v>167</v>
      </c>
      <c r="B47" s="27"/>
      <c r="C47" s="18">
        <f>MAX(C45,C46)</f>
        <v>-1571.7244382505314</v>
      </c>
      <c r="E47" s="30" t="s">
        <v>206</v>
      </c>
      <c r="F47" s="27"/>
      <c r="G47" s="18">
        <f>MAX(G45,G46)</f>
        <v>-1665.0016127859526</v>
      </c>
    </row>
    <row r="48" spans="1:53">
      <c r="O48" s="15" t="s">
        <v>207</v>
      </c>
      <c r="Q48" s="15" t="s">
        <v>208</v>
      </c>
      <c r="S48" s="15" t="s">
        <v>209</v>
      </c>
      <c r="U48" s="15" t="s">
        <v>210</v>
      </c>
      <c r="W48" s="15" t="s">
        <v>211</v>
      </c>
      <c r="Y48" s="15" t="s">
        <v>212</v>
      </c>
      <c r="AA48" s="15" t="s">
        <v>213</v>
      </c>
      <c r="AC48" s="15" t="s">
        <v>214</v>
      </c>
      <c r="AE48" s="15" t="s">
        <v>215</v>
      </c>
      <c r="AG48" s="15" t="s">
        <v>216</v>
      </c>
      <c r="AI48" s="15" t="s">
        <v>217</v>
      </c>
      <c r="AK48" s="15" t="s">
        <v>218</v>
      </c>
      <c r="AM48" s="15" t="s">
        <v>219</v>
      </c>
      <c r="AO48" s="15" t="s">
        <v>220</v>
      </c>
      <c r="AQ48" s="18" t="s">
        <v>203</v>
      </c>
      <c r="AS48" s="18" t="s">
        <v>184</v>
      </c>
      <c r="AU48" s="18" t="s">
        <v>163</v>
      </c>
      <c r="AW48" s="18" t="s">
        <v>143</v>
      </c>
      <c r="AY48" s="20" t="s">
        <v>123</v>
      </c>
      <c r="AZ48" s="65" t="s">
        <v>221</v>
      </c>
      <c r="BA48" s="66"/>
    </row>
    <row r="49" spans="1:53">
      <c r="A49" s="37" t="s">
        <v>222</v>
      </c>
      <c r="B49" s="37"/>
      <c r="C49" s="37"/>
      <c r="E49" s="37" t="s">
        <v>223</v>
      </c>
      <c r="F49" s="37"/>
      <c r="G49" s="37"/>
      <c r="O49" s="15">
        <f>A28*C15^7</f>
        <v>2900.0363008004188</v>
      </c>
      <c r="Q49" s="15">
        <f>A28*C15^7*C14</f>
        <v>2954.445428970846</v>
      </c>
      <c r="S49" s="15">
        <f>A28*C15^7*C14^2</f>
        <v>3009.8753558214312</v>
      </c>
      <c r="U49" s="15">
        <f>A28*C15^7*C14^3</f>
        <v>3066.3452331007952</v>
      </c>
      <c r="W49" s="15">
        <f>A28*C15^7*C14^4</f>
        <v>3123.8745718737314</v>
      </c>
      <c r="Y49" s="15">
        <f>A28*C14^5*C15^7</f>
        <v>3182.4832492625305</v>
      </c>
      <c r="AA49" s="15">
        <f>A28*C14^6*C15^7</f>
        <v>3242.1915153147761</v>
      </c>
      <c r="AC49" s="15">
        <f>A28*C15^7*C14^7</f>
        <v>3303.0200000000013</v>
      </c>
      <c r="AE49" s="15">
        <f>A28*C15^7*C14^8</f>
        <v>3364.9897203375999</v>
      </c>
      <c r="AG49" s="15">
        <f>A28*C15^7*C14^9</f>
        <v>3428.1220876584798</v>
      </c>
      <c r="AI49" s="15">
        <f>A28*C15^7*C14^10</f>
        <v>3492.4389150029533</v>
      </c>
      <c r="AK49" s="15">
        <f>A28*C15^7*C14^11</f>
        <v>3557.9624246574144</v>
      </c>
      <c r="AM49" s="15">
        <f>A28*C15^7*C14^12</f>
        <v>3624.715255832431</v>
      </c>
      <c r="AO49" s="15">
        <f>A28*C15^7*C14^13</f>
        <v>3692.7204724848775</v>
      </c>
      <c r="AQ49" s="18">
        <f>A28*C15^7*C14^14</f>
        <v>3762.0015712868258</v>
      </c>
      <c r="AS49" s="18">
        <f>A28*C15^7*C14^15</f>
        <v>3832.5824897439502</v>
      </c>
      <c r="AU49" s="18">
        <f>A28*C15^7*C14^16</f>
        <v>3904.4876144662376</v>
      </c>
      <c r="AW49" s="18">
        <f>A28*C15^7*C14^17</f>
        <v>3977.7417895938747</v>
      </c>
      <c r="AY49" s="20">
        <f>A28*C15^7*C14^18</f>
        <v>4052.3703253812187</v>
      </c>
      <c r="AZ49" s="18">
        <f>IF(G3 = "CALL",MAX(AY49-C4,0),MAX(C4-AY49))</f>
        <v>-652.37032538121866</v>
      </c>
    </row>
    <row r="50" spans="1:53">
      <c r="A50" s="37" t="s">
        <v>165</v>
      </c>
      <c r="B50" s="33"/>
      <c r="C50" s="19">
        <f>C19*(C17*AZ34 + C18*AZ37)</f>
        <v>-1390.6738055404298</v>
      </c>
      <c r="E50" s="30" t="s">
        <v>224</v>
      </c>
      <c r="F50" s="27"/>
      <c r="G50" s="18">
        <f>C19*(C17*C45 + C18*C50)</f>
        <v>-1480.9222055763507</v>
      </c>
    </row>
    <row r="51" spans="1:53">
      <c r="A51" s="37" t="s">
        <v>166</v>
      </c>
      <c r="B51" s="33"/>
      <c r="C51" s="19">
        <f xml:space="preserve"> IF(G3 = "call",MAX(AW34 - C4),MAX(C4 - AW34))</f>
        <v>-1390.2918373735165</v>
      </c>
      <c r="E51" s="38" t="s">
        <v>225</v>
      </c>
      <c r="F51" s="39"/>
      <c r="G51" s="18">
        <f xml:space="preserve"> IF(G3 = "call",MAX(AU31 - C4),MAX(C4 - AU31))</f>
        <v>-1480.165058091985</v>
      </c>
      <c r="Q51" s="15" t="s">
        <v>226</v>
      </c>
      <c r="S51" s="15" t="s">
        <v>227</v>
      </c>
      <c r="U51" s="15" t="s">
        <v>228</v>
      </c>
      <c r="W51" s="15" t="s">
        <v>229</v>
      </c>
      <c r="Y51" s="15" t="s">
        <v>230</v>
      </c>
      <c r="AA51" s="15" t="s">
        <v>231</v>
      </c>
      <c r="AC51" s="15" t="s">
        <v>232</v>
      </c>
      <c r="AE51" s="15" t="s">
        <v>233</v>
      </c>
      <c r="AG51" s="15" t="s">
        <v>234</v>
      </c>
      <c r="AI51" s="15" t="s">
        <v>235</v>
      </c>
      <c r="AK51" s="15" t="s">
        <v>236</v>
      </c>
      <c r="AM51" s="15" t="s">
        <v>237</v>
      </c>
      <c r="AO51" s="15" t="s">
        <v>238</v>
      </c>
      <c r="AQ51" s="18" t="s">
        <v>220</v>
      </c>
      <c r="AS51" s="18" t="s">
        <v>203</v>
      </c>
      <c r="AU51" s="18" t="s">
        <v>184</v>
      </c>
      <c r="AW51" s="18" t="s">
        <v>163</v>
      </c>
      <c r="AY51" s="20" t="s">
        <v>143</v>
      </c>
      <c r="AZ51" s="65" t="s">
        <v>239</v>
      </c>
      <c r="BA51" s="66"/>
    </row>
    <row r="52" spans="1:53">
      <c r="A52" s="30" t="s">
        <v>167</v>
      </c>
      <c r="B52" s="27"/>
      <c r="C52" s="18">
        <f>MAX(C50,C51)</f>
        <v>-1390.2918373735165</v>
      </c>
      <c r="E52" s="30" t="s">
        <v>240</v>
      </c>
      <c r="F52" s="27"/>
      <c r="G52" s="18">
        <f>MAX(G50,G51)</f>
        <v>-1480.165058091985</v>
      </c>
      <c r="I52" s="30" t="s">
        <v>241</v>
      </c>
      <c r="J52" s="30"/>
      <c r="Q52" s="15">
        <f>A28*C15^8</f>
        <v>2846.629172260527</v>
      </c>
      <c r="S52" s="15">
        <f>A28*C15^8*C14</f>
        <v>2900.0363008004188</v>
      </c>
      <c r="U52" s="15">
        <f>A28*C15^8*C14^2</f>
        <v>2954.4454289708465</v>
      </c>
      <c r="W52" s="15">
        <f>A28*C15^8*C14^3</f>
        <v>3009.8753558214316</v>
      </c>
      <c r="Y52" s="15">
        <f>A28*C15^8*C14^4</f>
        <v>3066.3452331007952</v>
      </c>
      <c r="AA52" s="15">
        <f>A28*C14^5*C15^8</f>
        <v>3123.8745718737318</v>
      </c>
      <c r="AC52" s="15">
        <f>A28*C15^8*C14^6</f>
        <v>3182.4832492625301</v>
      </c>
      <c r="AE52" s="15">
        <f>A28*C15^8*C14^7</f>
        <v>3242.191515314777</v>
      </c>
      <c r="AG52" s="15">
        <f>A28*C15^8*C14^8</f>
        <v>3303.0200000000018</v>
      </c>
      <c r="AI52" s="15">
        <f>A28*C15^8*C14^9</f>
        <v>3364.9897203375999</v>
      </c>
      <c r="AK52" s="15">
        <f>A28*C15^8*C14^10</f>
        <v>3428.1220876584807</v>
      </c>
      <c r="AM52" s="15">
        <f>A28*C15^8*C14^11</f>
        <v>3492.4389150029533</v>
      </c>
      <c r="AO52" s="15">
        <f>A28*C15^8*C14^12</f>
        <v>3557.9624246574149</v>
      </c>
      <c r="AQ52" s="18">
        <f>A28*C15^8*C14^13</f>
        <v>3624.7152558324315</v>
      </c>
      <c r="AS52" s="18">
        <f>A28*C15^8*C14^14</f>
        <v>3692.7204724848775</v>
      </c>
      <c r="AU52" s="18">
        <f>A28*C15^8*C14^15</f>
        <v>3762.0015712868262</v>
      </c>
      <c r="AW52" s="18">
        <f>A28*C15^8*C14^16</f>
        <v>3832.5824897439506</v>
      </c>
      <c r="AY52" s="20">
        <f>A28*C15^8*C14^17</f>
        <v>3904.4876144662376</v>
      </c>
      <c r="AZ52" s="18">
        <f>IF(G3 = "CALL",MAX(AY52-C4,0),MAX(C4-AY52))</f>
        <v>-504.48761446623757</v>
      </c>
    </row>
    <row r="54" spans="1:53">
      <c r="A54" s="37" t="s">
        <v>242</v>
      </c>
      <c r="B54" s="37"/>
      <c r="C54" s="37"/>
      <c r="E54" s="37" t="s">
        <v>243</v>
      </c>
      <c r="F54" s="37"/>
      <c r="G54" s="37"/>
      <c r="I54" s="30" t="s">
        <v>244</v>
      </c>
      <c r="J54" s="30"/>
      <c r="K54" s="30"/>
      <c r="S54" s="15" t="s">
        <v>245</v>
      </c>
      <c r="U54" s="15" t="s">
        <v>246</v>
      </c>
      <c r="W54" s="15" t="s">
        <v>247</v>
      </c>
      <c r="Y54" s="15" t="s">
        <v>248</v>
      </c>
      <c r="AA54" s="15" t="s">
        <v>249</v>
      </c>
      <c r="AC54" s="15" t="s">
        <v>250</v>
      </c>
      <c r="AE54" s="15" t="s">
        <v>251</v>
      </c>
      <c r="AG54" s="15" t="s">
        <v>252</v>
      </c>
      <c r="AI54" s="15" t="s">
        <v>253</v>
      </c>
      <c r="AK54" s="15" t="s">
        <v>254</v>
      </c>
      <c r="AM54" s="15" t="s">
        <v>255</v>
      </c>
      <c r="AO54" s="15" t="s">
        <v>256</v>
      </c>
      <c r="AQ54" s="18" t="s">
        <v>238</v>
      </c>
      <c r="AS54" s="18" t="s">
        <v>220</v>
      </c>
      <c r="AU54" s="18" t="s">
        <v>203</v>
      </c>
      <c r="AW54" s="18" t="s">
        <v>184</v>
      </c>
      <c r="AY54" s="20" t="s">
        <v>163</v>
      </c>
      <c r="AZ54" s="65" t="s">
        <v>257</v>
      </c>
      <c r="BA54" s="66"/>
    </row>
    <row r="55" spans="1:53">
      <c r="A55" s="37" t="s">
        <v>165</v>
      </c>
      <c r="B55" s="33"/>
      <c r="C55" s="19">
        <f>C19*(C17*AZ37 + C18*AZ40)</f>
        <v>-1215.8687240631159</v>
      </c>
      <c r="E55" s="30" t="s">
        <v>258</v>
      </c>
      <c r="F55" s="27"/>
      <c r="G55" s="18">
        <f>C19*(C17*C50 + C18*C55)</f>
        <v>-1302.8441539384537</v>
      </c>
      <c r="I55" s="30" t="s">
        <v>259</v>
      </c>
      <c r="J55" s="30"/>
      <c r="K55" s="19">
        <f>C19*(C17*G45 + C18*G50)</f>
        <v>-1572.8497879564072</v>
      </c>
      <c r="S55" s="15">
        <f>A28*C15^9</f>
        <v>2794.2055905052353</v>
      </c>
      <c r="U55" s="15">
        <f>A28*C15^9*C14</f>
        <v>2846.629172260527</v>
      </c>
      <c r="W55" s="15">
        <f>A28*C15^9*C14^2</f>
        <v>2900.0363008004188</v>
      </c>
      <c r="Y55" s="15">
        <f>A28*C15^9*C14^3</f>
        <v>2954.4454289708465</v>
      </c>
      <c r="AA55" s="15">
        <f>A28*C15^9*C14^4</f>
        <v>3009.8753558214316</v>
      </c>
      <c r="AC55" s="15">
        <f>A28*C15^9*C14^5</f>
        <v>3066.3452331007952</v>
      </c>
      <c r="AE55" s="15">
        <f>A28*C15^9*C14^6</f>
        <v>3123.8745718737314</v>
      </c>
      <c r="AG55" s="15">
        <f>A28*C15^9*C14^7</f>
        <v>3182.4832492625305</v>
      </c>
      <c r="AI55" s="15">
        <f>A28*C15^9*C14^8</f>
        <v>3242.191515314777</v>
      </c>
      <c r="AK55" s="15">
        <f>A28*C15^9*C14^9</f>
        <v>3303.0200000000013</v>
      </c>
      <c r="AM55" s="15">
        <f>A28*C15^9*C14^10</f>
        <v>3364.9897203376004</v>
      </c>
      <c r="AO55" s="15">
        <f>A28*C15^9*C14^11</f>
        <v>3428.1220876584807</v>
      </c>
      <c r="AQ55" s="18">
        <f>A28*C15^9*C14^12</f>
        <v>3492.4389150029533</v>
      </c>
      <c r="AS55" s="18">
        <f>A28*C15^9*C14^13</f>
        <v>3557.9624246574149</v>
      </c>
      <c r="AU55" s="18">
        <f>A28*C15^9*C14^14</f>
        <v>3624.7152558324315</v>
      </c>
      <c r="AW55" s="18">
        <f>A28*C15^9*C14^15</f>
        <v>3692.7204724848775</v>
      </c>
      <c r="AY55" s="20">
        <f>A28*C15^9*C14^16</f>
        <v>3762.0015712868262</v>
      </c>
      <c r="AZ55" s="18">
        <f>IF(G3 = "CALL",MAX(AY55-C4,0),MAX(C4-AY55))</f>
        <v>-362.00157128682622</v>
      </c>
    </row>
    <row r="56" spans="1:53">
      <c r="A56" s="37" t="s">
        <v>166</v>
      </c>
      <c r="B56" s="33"/>
      <c r="C56" s="19">
        <f xml:space="preserve"> IF(G3 = "call",MAX(AW37 - C4),MAX(C4 - AW37))</f>
        <v>-1215.4802367288839</v>
      </c>
      <c r="E56" s="38" t="s">
        <v>260</v>
      </c>
      <c r="F56" s="39"/>
      <c r="G56" s="18">
        <f xml:space="preserve"> IF(G3 = "call",MAX(AU34 - C4),MAX(C4 - AU34))</f>
        <v>-1302.0737237479761</v>
      </c>
      <c r="I56" s="30" t="s">
        <v>261</v>
      </c>
      <c r="J56" s="27"/>
      <c r="K56" s="18">
        <f xml:space="preserve"> IF(G3 = "call",MAX(AS28 - C4),MAX(C4 - AS28))</f>
        <v>-1571.7244382505305</v>
      </c>
    </row>
    <row r="57" spans="1:53">
      <c r="A57" s="30" t="s">
        <v>167</v>
      </c>
      <c r="B57" s="27"/>
      <c r="C57" s="18">
        <f>MAX(C55,C56)</f>
        <v>-1215.4802367288839</v>
      </c>
      <c r="E57" s="30" t="s">
        <v>262</v>
      </c>
      <c r="F57" s="27"/>
      <c r="G57" s="18">
        <f>MAX(G55,G56)</f>
        <v>-1302.0737237479761</v>
      </c>
      <c r="I57" s="30" t="s">
        <v>263</v>
      </c>
      <c r="J57" s="27"/>
      <c r="K57" s="18">
        <f>MAX(K55,K56)</f>
        <v>-1571.7244382505305</v>
      </c>
      <c r="U57" s="15" t="s">
        <v>264</v>
      </c>
      <c r="W57" s="15" t="s">
        <v>265</v>
      </c>
      <c r="Y57" s="15" t="s">
        <v>266</v>
      </c>
      <c r="AA57" s="15" t="s">
        <v>267</v>
      </c>
      <c r="AC57" s="15" t="s">
        <v>268</v>
      </c>
      <c r="AE57" s="15" t="s">
        <v>269</v>
      </c>
      <c r="AG57" s="15" t="s">
        <v>270</v>
      </c>
      <c r="AI57" s="17" t="s">
        <v>271</v>
      </c>
      <c r="AK57" s="15" t="s">
        <v>272</v>
      </c>
      <c r="AM57" s="15" t="s">
        <v>273</v>
      </c>
      <c r="AO57" s="15" t="s">
        <v>274</v>
      </c>
      <c r="AQ57" s="18" t="s">
        <v>256</v>
      </c>
      <c r="AS57" s="18" t="s">
        <v>238</v>
      </c>
      <c r="AU57" s="18" t="s">
        <v>220</v>
      </c>
      <c r="AW57" s="18" t="s">
        <v>203</v>
      </c>
      <c r="AY57" s="20" t="s">
        <v>184</v>
      </c>
      <c r="AZ57" s="65" t="s">
        <v>275</v>
      </c>
      <c r="BA57" s="66"/>
    </row>
    <row r="58" spans="1:53">
      <c r="U58" s="15">
        <f>A28*C15^10</f>
        <v>2742.7474425166015</v>
      </c>
      <c r="W58" s="15">
        <f>A28*C15^10*C14</f>
        <v>2794.2055905052353</v>
      </c>
      <c r="Y58" s="15">
        <f>A28*C15^10*C14^2</f>
        <v>2846.629172260527</v>
      </c>
      <c r="AA58" s="15">
        <f>A28*C14^3*C15^10</f>
        <v>2900.0363008004197</v>
      </c>
      <c r="AC58" s="15">
        <f>A28*C15^10*C14^4</f>
        <v>2954.4454289708465</v>
      </c>
      <c r="AE58" s="15">
        <f>A28*C15^10*C14^5</f>
        <v>3009.8753558214316</v>
      </c>
      <c r="AG58" s="15">
        <f>A28*C15^10*C14^6</f>
        <v>3066.3452331007952</v>
      </c>
      <c r="AI58" s="15">
        <f>A28*C15^10*C14^7</f>
        <v>3123.8745718737318</v>
      </c>
      <c r="AK58" s="15">
        <f>A28*C15^10*C14^8</f>
        <v>3182.4832492625305</v>
      </c>
      <c r="AM58" s="15">
        <f>A28*C15^10*C14^9</f>
        <v>3242.1915153147766</v>
      </c>
      <c r="AO58" s="15">
        <f>A28*C15^10*C14^10</f>
        <v>3303.0200000000018</v>
      </c>
      <c r="AQ58" s="18">
        <f>A28*C15^10*C14^11</f>
        <v>3364.9897203376004</v>
      </c>
      <c r="AS58" s="18">
        <f>A28*C15^10*C14^12</f>
        <v>3428.1220876584807</v>
      </c>
      <c r="AU58" s="18">
        <f>A28*C15^10*C14^13</f>
        <v>3492.4389150029538</v>
      </c>
      <c r="AW58" s="18">
        <f>A28*C15^10*C14^14</f>
        <v>3557.9624246574149</v>
      </c>
      <c r="AY58" s="20">
        <f>A28*C15^10*C14^15</f>
        <v>3624.7152558324315</v>
      </c>
      <c r="AZ58" s="18">
        <f>IF(G3 = "CALL",MAX(AY58-C4,0),MAX(C4-AY58))</f>
        <v>-224.71525583243147</v>
      </c>
    </row>
    <row r="59" spans="1:53">
      <c r="A59" s="37" t="s">
        <v>242</v>
      </c>
      <c r="B59" s="37"/>
      <c r="C59" s="37"/>
      <c r="E59" s="37" t="s">
        <v>276</v>
      </c>
      <c r="F59" s="37"/>
      <c r="G59" s="37"/>
      <c r="I59" s="30" t="s">
        <v>277</v>
      </c>
      <c r="J59" s="30"/>
      <c r="K59" s="30"/>
    </row>
    <row r="60" spans="1:53">
      <c r="A60" s="37" t="s">
        <v>165</v>
      </c>
      <c r="B60" s="33"/>
      <c r="C60" s="19">
        <f>C19*(C17*AZ40 + C18*AZ43)</f>
        <v>-1047.4427854713056</v>
      </c>
      <c r="E60" s="30" t="s">
        <v>278</v>
      </c>
      <c r="F60" s="27"/>
      <c r="G60" s="18">
        <f>C19*(C17*C55 + C18*C60)</f>
        <v>-1131.2646853312649</v>
      </c>
      <c r="I60" s="30" t="s">
        <v>279</v>
      </c>
      <c r="J60" s="30"/>
      <c r="K60" s="18">
        <f>C19*(C17*G50 + C18*G55)</f>
        <v>-1391.4374845659868</v>
      </c>
      <c r="W60" s="15" t="s">
        <v>280</v>
      </c>
      <c r="Y60" s="15" t="s">
        <v>281</v>
      </c>
      <c r="AA60" s="15" t="s">
        <v>282</v>
      </c>
      <c r="AC60" s="15" t="s">
        <v>283</v>
      </c>
      <c r="AE60" s="15" t="s">
        <v>284</v>
      </c>
      <c r="AG60" s="15" t="s">
        <v>285</v>
      </c>
      <c r="AI60" s="15" t="s">
        <v>286</v>
      </c>
      <c r="AK60" s="15" t="s">
        <v>287</v>
      </c>
      <c r="AM60" s="15" t="s">
        <v>288</v>
      </c>
      <c r="AO60" s="15" t="s">
        <v>289</v>
      </c>
      <c r="AQ60" s="18" t="s">
        <v>274</v>
      </c>
      <c r="AS60" s="18" t="s">
        <v>256</v>
      </c>
      <c r="AU60" s="18" t="s">
        <v>238</v>
      </c>
      <c r="AW60" s="18" t="s">
        <v>220</v>
      </c>
      <c r="AY60" s="20" t="s">
        <v>203</v>
      </c>
      <c r="AZ60" s="65" t="s">
        <v>290</v>
      </c>
      <c r="BA60" s="66"/>
    </row>
    <row r="61" spans="1:53">
      <c r="A61" s="37" t="s">
        <v>166</v>
      </c>
      <c r="B61" s="33"/>
      <c r="C61" s="19">
        <f xml:space="preserve"> IF(G3 = "call",MAX(AW40 - C4),MAX(C4 - AW40))</f>
        <v>-1047.048016873021</v>
      </c>
      <c r="E61" s="38" t="s">
        <v>291</v>
      </c>
      <c r="F61" s="39"/>
      <c r="G61" s="18">
        <f xml:space="preserve"> IF(G3 = "call",MAX(AU37 - C4),MAX(C4 - AU37))</f>
        <v>-1130.4814571590296</v>
      </c>
      <c r="I61" s="30" t="s">
        <v>292</v>
      </c>
      <c r="J61" s="30"/>
      <c r="K61" s="18">
        <f xml:space="preserve"> IF(G3 = "call",MAX(AS31 - C4),MAX(C4 - AS31))</f>
        <v>-1390.2918373735156</v>
      </c>
      <c r="W61" s="15">
        <f>A28*C15^11</f>
        <v>2692.2369488463969</v>
      </c>
      <c r="Y61" s="15">
        <f>A28*C15^11*C14^1</f>
        <v>2742.747442516602</v>
      </c>
      <c r="AA61" s="15">
        <f>A28*C15^11*C14^2</f>
        <v>2794.2055905052357</v>
      </c>
      <c r="AC61" s="15">
        <f>A28*C15^11*C14^3</f>
        <v>2846.6291722605274</v>
      </c>
      <c r="AE61" s="15">
        <f>A28*C15^11*C14^4</f>
        <v>2900.0363008004192</v>
      </c>
      <c r="AG61" s="15">
        <f>A28*C15^11*C14^5</f>
        <v>2954.4454289708469</v>
      </c>
      <c r="AI61" s="15">
        <f>A28*C15^11*C14^6</f>
        <v>3009.8753558214321</v>
      </c>
      <c r="AK61" s="15">
        <f>A28*C15^11*C14^7</f>
        <v>3066.3452331007957</v>
      </c>
      <c r="AM61" s="15">
        <f>A28*C15^11*C14^8</f>
        <v>3123.8745718737323</v>
      </c>
      <c r="AO61" s="15">
        <f>A28*C15^11*C14^9</f>
        <v>3182.4832492625305</v>
      </c>
      <c r="AQ61" s="18">
        <f>A28*C15^11*C14^10</f>
        <v>3242.1915153147775</v>
      </c>
      <c r="AS61" s="18">
        <f>A28*C15^11*C14^11</f>
        <v>3303.0200000000023</v>
      </c>
      <c r="AU61" s="18">
        <f>A28*C15^11*C14^12</f>
        <v>3364.9897203376008</v>
      </c>
      <c r="AW61" s="18">
        <f>A28*C15^11*C14^13</f>
        <v>3428.1220876584816</v>
      </c>
      <c r="AY61" s="20">
        <f>A28*C15^11*C14^14</f>
        <v>3492.4389150029538</v>
      </c>
      <c r="AZ61" s="18">
        <f>IF(G3 = "CALL",MAX(AY61-C4,0),MAX(C4-AY61))</f>
        <v>-92.438915002953763</v>
      </c>
    </row>
    <row r="62" spans="1:53">
      <c r="A62" s="30" t="s">
        <v>167</v>
      </c>
      <c r="B62" s="27"/>
      <c r="C62" s="18">
        <f>MAX(C60,C61)</f>
        <v>-1047.048016873021</v>
      </c>
      <c r="E62" s="30" t="s">
        <v>293</v>
      </c>
      <c r="F62" s="27"/>
      <c r="G62" s="18">
        <f>MAX(G60,G61)</f>
        <v>-1130.4814571590296</v>
      </c>
      <c r="I62" s="30" t="s">
        <v>263</v>
      </c>
      <c r="J62" s="30"/>
      <c r="K62" s="18">
        <f>MAX(K60,K61)</f>
        <v>-1390.2918373735156</v>
      </c>
      <c r="M62" s="30" t="s">
        <v>294</v>
      </c>
      <c r="N62" s="30"/>
    </row>
    <row r="63" spans="1:53">
      <c r="Y63" s="15" t="s">
        <v>295</v>
      </c>
      <c r="AA63" s="15" t="s">
        <v>296</v>
      </c>
      <c r="AC63" s="15" t="s">
        <v>297</v>
      </c>
      <c r="AE63" s="15" t="s">
        <v>298</v>
      </c>
      <c r="AG63" s="15" t="s">
        <v>299</v>
      </c>
      <c r="AI63" s="15" t="s">
        <v>300</v>
      </c>
      <c r="AK63" s="15" t="s">
        <v>301</v>
      </c>
      <c r="AM63" s="15" t="s">
        <v>302</v>
      </c>
      <c r="AO63" s="15" t="s">
        <v>303</v>
      </c>
      <c r="AQ63" s="18" t="s">
        <v>289</v>
      </c>
      <c r="AS63" s="18" t="s">
        <v>274</v>
      </c>
      <c r="AU63" s="18" t="s">
        <v>256</v>
      </c>
      <c r="AW63" s="18" t="s">
        <v>238</v>
      </c>
      <c r="AY63" s="20" t="s">
        <v>220</v>
      </c>
      <c r="AZ63" s="65" t="s">
        <v>304</v>
      </c>
      <c r="BA63" s="66"/>
    </row>
    <row r="64" spans="1:53">
      <c r="A64" s="37" t="s">
        <v>305</v>
      </c>
      <c r="B64" s="37"/>
      <c r="C64" s="37"/>
      <c r="E64" s="37" t="s">
        <v>306</v>
      </c>
      <c r="F64" s="37"/>
      <c r="G64" s="37"/>
      <c r="I64" s="30" t="s">
        <v>244</v>
      </c>
      <c r="J64" s="30"/>
      <c r="K64" s="30"/>
      <c r="M64" s="33" t="s">
        <v>307</v>
      </c>
      <c r="N64" s="34"/>
      <c r="O64" s="36"/>
      <c r="Y64" s="15">
        <f>A28*C15^12</f>
        <v>2642.6566574730782</v>
      </c>
      <c r="AA64" s="15">
        <f>A28*C15^12*C14</f>
        <v>2692.2369488463969</v>
      </c>
      <c r="AC64" s="15">
        <f>A28*C15^12*C14^2</f>
        <v>2742.747442516602</v>
      </c>
      <c r="AE64" s="15">
        <f>A28*C15^12*C14^3</f>
        <v>2794.2055905052362</v>
      </c>
      <c r="AG64" s="15">
        <f>A28*C15^12*C14^4</f>
        <v>2846.6291722605274</v>
      </c>
      <c r="AI64" s="15">
        <f>A28*C15^12*C14^5</f>
        <v>2900.0363008004197</v>
      </c>
      <c r="AK64" s="15">
        <f>A28*C15^12*C14^6</f>
        <v>2954.4454289708469</v>
      </c>
      <c r="AM64" s="15">
        <f>A28*C15^12*C14^7</f>
        <v>3009.8753558214321</v>
      </c>
      <c r="AO64" s="15">
        <f>A28*C15^12*C14^8</f>
        <v>3066.3452331007957</v>
      </c>
      <c r="AQ64" s="18">
        <f>A28*C15^12*C14^9</f>
        <v>3123.8745718737318</v>
      </c>
      <c r="AS64" s="18">
        <f>A28*C15^12*C14^10</f>
        <v>3182.4832492625314</v>
      </c>
      <c r="AU64" s="18">
        <f>A28*C15^12*C14^11</f>
        <v>3242.1915153147775</v>
      </c>
      <c r="AW64" s="18">
        <f>A28*C15^12*C14^12</f>
        <v>3303.0200000000023</v>
      </c>
      <c r="AY64" s="20">
        <f>A28*C15^12*C14^13</f>
        <v>3364.9897203376008</v>
      </c>
      <c r="AZ64" s="18">
        <f>IF(G3 = "CALL",MAX(AY64-C4,0),MAX(C4-AY64))</f>
        <v>35.010279662399171</v>
      </c>
    </row>
    <row r="65" spans="1:53">
      <c r="A65" s="37" t="s">
        <v>165</v>
      </c>
      <c r="B65" s="33"/>
      <c r="C65" s="19">
        <f>C19*(C17*AZ43 + C18*AZ46)</f>
        <v>-885.16319639532185</v>
      </c>
      <c r="E65" s="30" t="s">
        <v>308</v>
      </c>
      <c r="F65" s="27"/>
      <c r="G65" s="18">
        <f>C19*(C17*C60 + C18*C65)</f>
        <v>-965.94664766884</v>
      </c>
      <c r="I65" s="30" t="s">
        <v>309</v>
      </c>
      <c r="J65" s="30"/>
      <c r="K65" s="18">
        <f>C19*(C17*G55 + C18*G60)</f>
        <v>-1216.6454406939711</v>
      </c>
      <c r="M65" s="30" t="s">
        <v>310</v>
      </c>
      <c r="N65" s="27"/>
      <c r="O65" s="18">
        <f>C19*(C17*K55 + C18*K60)</f>
        <v>-1481.6790105229425</v>
      </c>
    </row>
    <row r="66" spans="1:53">
      <c r="A66" s="37" t="s">
        <v>166</v>
      </c>
      <c r="B66" s="33"/>
      <c r="C66" s="19">
        <f xml:space="preserve"> IF(G3 = "call",MAX(AW43 - C4),MAX(C4 - AW43))</f>
        <v>-884.7623757544734</v>
      </c>
      <c r="E66" s="38" t="s">
        <v>311</v>
      </c>
      <c r="F66" s="39"/>
      <c r="G66" s="18">
        <f xml:space="preserve"> IF(G3 = "call",MAX(AU40 - C4),MAX(C4 - AU40))</f>
        <v>-965.15108855020753</v>
      </c>
      <c r="I66" s="30" t="s">
        <v>312</v>
      </c>
      <c r="J66" s="30"/>
      <c r="K66" s="18">
        <f xml:space="preserve"> IF(G3 = "call",MAX(AS34 - C4),MAX(C4 - AS34))</f>
        <v>-1215.4802367288839</v>
      </c>
      <c r="M66" s="30" t="s">
        <v>313</v>
      </c>
      <c r="N66" s="27"/>
      <c r="O66" s="18">
        <f xml:space="preserve"> IF(G3 = "call",MAX(AQ28 - C4),MAX(C4 - AQ28))</f>
        <v>-1480.165058091985</v>
      </c>
      <c r="AA66" s="15" t="s">
        <v>314</v>
      </c>
      <c r="AC66" s="15" t="s">
        <v>315</v>
      </c>
      <c r="AE66" s="15" t="s">
        <v>316</v>
      </c>
      <c r="AG66" s="15" t="s">
        <v>317</v>
      </c>
      <c r="AI66" s="15" t="s">
        <v>318</v>
      </c>
      <c r="AK66" s="15" t="s">
        <v>319</v>
      </c>
      <c r="AM66" s="15" t="s">
        <v>320</v>
      </c>
      <c r="AO66" s="15" t="s">
        <v>321</v>
      </c>
      <c r="AQ66" s="18" t="s">
        <v>303</v>
      </c>
      <c r="AS66" s="18" t="s">
        <v>289</v>
      </c>
      <c r="AU66" s="18" t="s">
        <v>274</v>
      </c>
      <c r="AW66" s="18" t="s">
        <v>256</v>
      </c>
      <c r="AY66" s="20" t="s">
        <v>238</v>
      </c>
      <c r="AZ66" s="65" t="s">
        <v>322</v>
      </c>
      <c r="BA66" s="66"/>
    </row>
    <row r="67" spans="1:53">
      <c r="A67" s="30" t="s">
        <v>167</v>
      </c>
      <c r="B67" s="27"/>
      <c r="C67" s="18">
        <f>MAX(C65,C66)</f>
        <v>-884.7623757544734</v>
      </c>
      <c r="E67" s="30" t="s">
        <v>323</v>
      </c>
      <c r="F67" s="27"/>
      <c r="G67" s="18">
        <f>MAX(G65,G66)</f>
        <v>-965.15108855020753</v>
      </c>
      <c r="I67" s="30" t="s">
        <v>324</v>
      </c>
      <c r="J67" s="30"/>
      <c r="K67" s="18">
        <f>MAX(K65,K66)</f>
        <v>-1215.4802367288839</v>
      </c>
      <c r="M67" s="30" t="s">
        <v>325</v>
      </c>
      <c r="N67" s="27"/>
      <c r="O67" s="18">
        <f>MAX(O65,O66)</f>
        <v>-1480.165058091985</v>
      </c>
      <c r="AA67" s="15">
        <f>A28*C15^13</f>
        <v>2593.9894377718933</v>
      </c>
      <c r="AC67" s="15">
        <f>A28*C15^13*C14</f>
        <v>2642.6566574730782</v>
      </c>
      <c r="AE67" s="15">
        <f>A28*C15^13*C14^2</f>
        <v>2692.2369488463974</v>
      </c>
      <c r="AG67" s="15">
        <f>A28*C15^13*C14^3</f>
        <v>2742.7474425166024</v>
      </c>
      <c r="AI67" s="15">
        <f>A28*C15^13*C14^4</f>
        <v>2794.2055905052362</v>
      </c>
      <c r="AK67" s="15">
        <f>A28*C15^13*C14^5</f>
        <v>2846.6291722605279</v>
      </c>
      <c r="AM67" s="15">
        <f>A28*C15^13*C14^6</f>
        <v>2900.0363008004197</v>
      </c>
      <c r="AO67" s="15">
        <f>A28*C15^13*C14^7</f>
        <v>2954.4454289708474</v>
      </c>
      <c r="AQ67" s="18">
        <f>A28*C15^13*C14^8</f>
        <v>3009.8753558214325</v>
      </c>
      <c r="AS67" s="18">
        <f>A28*C15^13*C14^9</f>
        <v>3066.3452331007957</v>
      </c>
      <c r="AU67" s="18">
        <f>A28*C15^13*C14^10</f>
        <v>3123.8745718737327</v>
      </c>
      <c r="AW67" s="18">
        <f>A28*C15^13*C14^11</f>
        <v>3182.4832492625314</v>
      </c>
      <c r="AY67" s="20">
        <f>A28*C15^13*C14^12</f>
        <v>3242.1915153147779</v>
      </c>
      <c r="AZ67" s="18">
        <f>IF(G3 = "CALL",MAX(AY67-C4,0),MAX(C4-AY67))</f>
        <v>157.80848468522208</v>
      </c>
    </row>
    <row r="69" spans="1:53">
      <c r="A69" s="37" t="s">
        <v>326</v>
      </c>
      <c r="B69" s="37"/>
      <c r="C69" s="37"/>
      <c r="E69" s="37" t="s">
        <v>327</v>
      </c>
      <c r="F69" s="37"/>
      <c r="G69" s="37"/>
      <c r="I69" s="30" t="s">
        <v>244</v>
      </c>
      <c r="J69" s="30"/>
      <c r="K69" s="30"/>
      <c r="M69" s="33" t="s">
        <v>328</v>
      </c>
      <c r="N69" s="34"/>
      <c r="O69" s="36"/>
      <c r="AC69" s="15" t="s">
        <v>329</v>
      </c>
      <c r="AE69" s="15" t="s">
        <v>330</v>
      </c>
      <c r="AG69" s="15" t="s">
        <v>331</v>
      </c>
      <c r="AI69" s="15" t="s">
        <v>332</v>
      </c>
      <c r="AK69" s="15" t="s">
        <v>333</v>
      </c>
      <c r="AM69" s="15" t="s">
        <v>334</v>
      </c>
      <c r="AO69" s="15" t="s">
        <v>335</v>
      </c>
      <c r="AQ69" s="18" t="s">
        <v>321</v>
      </c>
      <c r="AS69" s="18" t="s">
        <v>303</v>
      </c>
      <c r="AU69" s="18" t="s">
        <v>289</v>
      </c>
      <c r="AW69" s="18" t="s">
        <v>274</v>
      </c>
      <c r="AY69" s="20" t="s">
        <v>256</v>
      </c>
      <c r="AZ69" s="65" t="s">
        <v>336</v>
      </c>
      <c r="BA69" s="66"/>
    </row>
    <row r="70" spans="1:53">
      <c r="A70" s="37" t="s">
        <v>165</v>
      </c>
      <c r="B70" s="33"/>
      <c r="C70" s="19">
        <f>C19*(C17*AZ46 + C18*AZ49)</f>
        <v>-728.80565876868798</v>
      </c>
      <c r="E70" s="30" t="s">
        <v>337</v>
      </c>
      <c r="F70" s="27"/>
      <c r="G70" s="18">
        <f>C19*(C17*C65 + C18*C70)</f>
        <v>-806.66154323059288</v>
      </c>
      <c r="I70" s="30" t="s">
        <v>338</v>
      </c>
      <c r="J70" s="30"/>
      <c r="K70" s="18">
        <f>C19*(C17*G60 + C18*G65)</f>
        <v>-1048.2320639275417</v>
      </c>
      <c r="M70" s="30" t="s">
        <v>310</v>
      </c>
      <c r="N70" s="27"/>
      <c r="O70" s="18">
        <f>C19*(C17*K60 + C18*K65)</f>
        <v>-1303.6142406004842</v>
      </c>
      <c r="AC70" s="15">
        <f>A28*C15^14</f>
        <v>2546.2184745960294</v>
      </c>
      <c r="AE70" s="15">
        <f>A28*C15^14*C14</f>
        <v>2593.9894377718933</v>
      </c>
      <c r="AG70" s="15">
        <f>A28*C15^14*C14^2</f>
        <v>2642.6566574730787</v>
      </c>
      <c r="AI70" s="15">
        <f>A28*C15^14*C14^3</f>
        <v>2692.2369488463974</v>
      </c>
      <c r="AK70" s="15">
        <f>A28*C15^14*C14^4</f>
        <v>2742.7474425166024</v>
      </c>
      <c r="AM70" s="15">
        <f>A28*C15^14*C14^5</f>
        <v>2794.2055905052362</v>
      </c>
      <c r="AO70" s="15">
        <f>A28*C15^14*C14^6</f>
        <v>2846.6291722605279</v>
      </c>
      <c r="AQ70" s="18">
        <f>A28*C15^14*C14^7</f>
        <v>2900.0363008004201</v>
      </c>
      <c r="AS70" s="18">
        <f>A28*C15^14*C14^8</f>
        <v>2954.4454289708474</v>
      </c>
      <c r="AU70" s="18">
        <f>A28*C15^14*C14^9</f>
        <v>3009.8753558214321</v>
      </c>
      <c r="AW70" s="18">
        <f>A28*C15^14*C14^10</f>
        <v>3066.3452331007966</v>
      </c>
      <c r="AY70" s="20">
        <f>A28*C15^14*C14^11</f>
        <v>3123.8745718737327</v>
      </c>
      <c r="AZ70" s="18">
        <f>IF(G3 = "CALL",MAX(AY70-C4,0),MAX(C4-AY70))</f>
        <v>276.12542812626725</v>
      </c>
    </row>
    <row r="71" spans="1:53">
      <c r="A71" s="37" t="s">
        <v>166</v>
      </c>
      <c r="B71" s="33"/>
      <c r="C71" s="19">
        <f xml:space="preserve"> IF(G3 = "call",MAX(AW46 - C4),MAX(C4 - AW46))</f>
        <v>-728.39900694180778</v>
      </c>
      <c r="E71" s="38" t="s">
        <v>339</v>
      </c>
      <c r="F71" s="39"/>
      <c r="G71" s="18">
        <f xml:space="preserve"> IF(G3 = "call",MAX(AU43 - C4),MAX(C4 - AU43))</f>
        <v>-805.85410315745412</v>
      </c>
      <c r="I71" s="30" t="s">
        <v>340</v>
      </c>
      <c r="J71" s="30"/>
      <c r="K71" s="18">
        <f xml:space="preserve"> IF(G3 = "call",MAX(AS37 - C4),MAX(C4 - AS37))</f>
        <v>-1047.048016873021</v>
      </c>
      <c r="M71" s="30" t="s">
        <v>313</v>
      </c>
      <c r="N71" s="27"/>
      <c r="O71" s="18">
        <f xml:space="preserve"> IF(G3 = "call",MAX(AQ31 - C4),MAX(C4 - AQ31))</f>
        <v>-1302.0737237479752</v>
      </c>
    </row>
    <row r="72" spans="1:53">
      <c r="A72" s="30" t="s">
        <v>167</v>
      </c>
      <c r="B72" s="27"/>
      <c r="C72" s="18">
        <f>MAX(C70,C71)</f>
        <v>-728.39900694180778</v>
      </c>
      <c r="E72" s="30" t="s">
        <v>341</v>
      </c>
      <c r="F72" s="27"/>
      <c r="G72" s="18">
        <f>MAX(G70,G71)</f>
        <v>-805.85410315745412</v>
      </c>
      <c r="I72" s="30" t="s">
        <v>342</v>
      </c>
      <c r="J72" s="30"/>
      <c r="K72" s="18">
        <f>MAX(K70,K71)</f>
        <v>-1047.048016873021</v>
      </c>
      <c r="M72" s="30" t="s">
        <v>343</v>
      </c>
      <c r="N72" s="27"/>
      <c r="O72" s="18">
        <f>MAX(O70,O71)</f>
        <v>-1302.0737237479752</v>
      </c>
      <c r="Q72" s="30" t="s">
        <v>344</v>
      </c>
      <c r="R72" s="30"/>
      <c r="AE72" s="15" t="s">
        <v>345</v>
      </c>
      <c r="AG72" s="15" t="s">
        <v>346</v>
      </c>
      <c r="AI72" s="15" t="s">
        <v>347</v>
      </c>
      <c r="AK72" s="15" t="s">
        <v>348</v>
      </c>
      <c r="AM72" s="15" t="s">
        <v>349</v>
      </c>
      <c r="AO72" s="15" t="s">
        <v>350</v>
      </c>
      <c r="AQ72" s="18" t="s">
        <v>335</v>
      </c>
      <c r="AS72" s="18" t="s">
        <v>321</v>
      </c>
      <c r="AU72" s="18" t="s">
        <v>303</v>
      </c>
      <c r="AW72" s="18" t="s">
        <v>289</v>
      </c>
      <c r="AY72" s="20" t="s">
        <v>274</v>
      </c>
      <c r="AZ72" s="65" t="s">
        <v>351</v>
      </c>
      <c r="BA72" s="66"/>
    </row>
    <row r="73" spans="1:53">
      <c r="AE73" s="15">
        <f>A28*C15^15</f>
        <v>2499.3272624667657</v>
      </c>
      <c r="AG73" s="15">
        <f>A28*C15^15*C14</f>
        <v>2546.2184745960294</v>
      </c>
      <c r="AI73" s="15">
        <f>A28*C15^15*C14^2</f>
        <v>2593.9894377718933</v>
      </c>
      <c r="AK73" s="15">
        <f>A28*C15^15*C14^3</f>
        <v>2642.6566574730787</v>
      </c>
      <c r="AM73" s="15">
        <f>A28*C15^16*C14^4</f>
        <v>2642.6566574730787</v>
      </c>
      <c r="AO73" s="15">
        <f>A28*C15^15*C14^5</f>
        <v>2742.7474425166024</v>
      </c>
      <c r="AQ73" s="18">
        <f>A28*C15^15*C14^6</f>
        <v>2794.2055905052362</v>
      </c>
      <c r="AS73" s="18">
        <f>A28*C15^15*C14^7</f>
        <v>2846.6291722605279</v>
      </c>
      <c r="AU73" s="18">
        <f>A28*C15^15*C14^8</f>
        <v>2900.0363008004201</v>
      </c>
      <c r="AW73" s="18">
        <f>A28*C15^15*C14^9</f>
        <v>2954.4454289708474</v>
      </c>
      <c r="AY73" s="20">
        <f>A28*C15^15*C14^10</f>
        <v>3009.875355821433</v>
      </c>
      <c r="AZ73" s="18">
        <f>IF(G3 = "CALL",MAX(AY73-C4,0),MAX(C4-AY73))</f>
        <v>390.124644178567</v>
      </c>
    </row>
    <row r="74" spans="1:53">
      <c r="A74" s="37" t="s">
        <v>352</v>
      </c>
      <c r="B74" s="37"/>
      <c r="C74" s="37"/>
      <c r="E74" s="37" t="s">
        <v>353</v>
      </c>
      <c r="F74" s="37"/>
      <c r="G74" s="37"/>
      <c r="I74" s="30" t="s">
        <v>244</v>
      </c>
      <c r="J74" s="30"/>
      <c r="K74" s="30"/>
      <c r="M74" s="33" t="s">
        <v>354</v>
      </c>
      <c r="N74" s="34"/>
      <c r="O74" s="36"/>
      <c r="Q74" s="27" t="s">
        <v>355</v>
      </c>
      <c r="R74" s="29"/>
      <c r="S74" s="28"/>
    </row>
    <row r="75" spans="1:53">
      <c r="A75" s="37" t="s">
        <v>165</v>
      </c>
      <c r="B75" s="33"/>
      <c r="C75" s="19">
        <f>C19*(C17*AZ49 + C18*AZ52)</f>
        <v>-578.15405980994763</v>
      </c>
      <c r="E75" s="30" t="s">
        <v>356</v>
      </c>
      <c r="F75" s="27"/>
      <c r="G75" s="18">
        <f>C19*(C17*C70 + C18*C75)</f>
        <v>-653.1892128384809</v>
      </c>
      <c r="I75" s="30" t="s">
        <v>357</v>
      </c>
      <c r="J75" s="30"/>
      <c r="K75" s="18">
        <f>C19*(C17*G65 + C18*G70)</f>
        <v>-885.96457825960772</v>
      </c>
      <c r="M75" s="30" t="s">
        <v>310</v>
      </c>
      <c r="N75" s="27"/>
      <c r="O75" s="18">
        <f>C19*(C17*K65 + C18*K70)</f>
        <v>-1132.047569020533</v>
      </c>
      <c r="Q75" s="27" t="s">
        <v>310</v>
      </c>
      <c r="R75" s="28"/>
      <c r="S75" s="18">
        <f>C19*(C17*O65 + C18*O70)</f>
        <v>-1392.2008206137925</v>
      </c>
      <c r="AG75" s="15" t="s">
        <v>358</v>
      </c>
      <c r="AI75" s="15" t="s">
        <v>359</v>
      </c>
      <c r="AK75" s="15" t="s">
        <v>360</v>
      </c>
      <c r="AM75" s="15" t="s">
        <v>361</v>
      </c>
      <c r="AO75" s="15" t="s">
        <v>362</v>
      </c>
      <c r="AQ75" s="18" t="s">
        <v>350</v>
      </c>
      <c r="AS75" s="18" t="s">
        <v>335</v>
      </c>
      <c r="AU75" s="18" t="s">
        <v>321</v>
      </c>
      <c r="AW75" s="18" t="s">
        <v>303</v>
      </c>
      <c r="AY75" s="20" t="s">
        <v>289</v>
      </c>
      <c r="AZ75" s="65" t="s">
        <v>363</v>
      </c>
      <c r="BA75" s="66"/>
    </row>
    <row r="76" spans="1:53">
      <c r="A76" s="37" t="s">
        <v>166</v>
      </c>
      <c r="B76" s="33"/>
      <c r="C76" s="19">
        <f xml:space="preserve"> IF(G3 = "call",MAX(AW49 - C4),MAX(C4 - AW49))</f>
        <v>-577.74178959387473</v>
      </c>
      <c r="E76" s="38" t="s">
        <v>364</v>
      </c>
      <c r="F76" s="39"/>
      <c r="G76" s="18">
        <f xml:space="preserve"> IF(G3 = "call",MAX(AU46 - C4),MAX(C4 - AU46))</f>
        <v>-652.37032538121775</v>
      </c>
      <c r="I76" s="30" t="s">
        <v>365</v>
      </c>
      <c r="J76" s="30"/>
      <c r="K76" s="18">
        <f xml:space="preserve"> IF(G3 = "call",MAX(AS40 - C4),MAX(C4 - AS40))</f>
        <v>-884.76237575447249</v>
      </c>
      <c r="M76" s="30" t="s">
        <v>313</v>
      </c>
      <c r="N76" s="27"/>
      <c r="O76" s="18">
        <f xml:space="preserve"> IF(G3 = "call",MAX(AQ34 - C4),MAX(C4 - AQ34))</f>
        <v>-1130.4814571590296</v>
      </c>
      <c r="Q76" s="27" t="s">
        <v>313</v>
      </c>
      <c r="R76" s="28"/>
      <c r="S76" s="18">
        <f xml:space="preserve"> IF(G3 = "call",MAX(AO28 - C4),MAX(C4 - AO28))</f>
        <v>-1390.2918373735156</v>
      </c>
      <c r="AG76" s="15">
        <f>A28*C15^16</f>
        <v>2453.2995998706192</v>
      </c>
      <c r="AI76" s="15">
        <f>A28*C15^16*C14</f>
        <v>2499.3272624667657</v>
      </c>
      <c r="AK76" s="15">
        <f>A28*C15^16*C14^2</f>
        <v>2546.2184745960299</v>
      </c>
      <c r="AM76" s="15">
        <f>A28*C15^17*C14^3</f>
        <v>2546.2184745960299</v>
      </c>
      <c r="AO76" s="15">
        <f>A28*C15^16*C14^4</f>
        <v>2642.6566574730787</v>
      </c>
      <c r="AQ76" s="18">
        <f>A28*C15^16*C14^5</f>
        <v>2692.2369488463978</v>
      </c>
      <c r="AS76" s="18">
        <f>A28*C15^16*C14^6</f>
        <v>2742.7474425166024</v>
      </c>
      <c r="AU76" s="18">
        <f>A28*C15^16*C14^7</f>
        <v>2794.2055905052366</v>
      </c>
      <c r="AW76" s="18">
        <f>A28*C15^16*C14^8</f>
        <v>2846.6291722605283</v>
      </c>
      <c r="AY76" s="20">
        <f>A28*C15^16*C14^9</f>
        <v>2900.0363008004201</v>
      </c>
      <c r="AZ76" s="18">
        <f>IF(G3 = "CALL",MAX(AY76-C4,0),MAX(C4-AY76))</f>
        <v>499.96369919957988</v>
      </c>
    </row>
    <row r="77" spans="1:53">
      <c r="A77" s="30" t="s">
        <v>167</v>
      </c>
      <c r="B77" s="27"/>
      <c r="C77" s="18">
        <f>MAX(C75,C76)</f>
        <v>-577.74178959387473</v>
      </c>
      <c r="E77" s="30" t="s">
        <v>366</v>
      </c>
      <c r="F77" s="27"/>
      <c r="G77" s="18">
        <f>MAX(G75,G76)</f>
        <v>-652.37032538121775</v>
      </c>
      <c r="I77" s="30" t="s">
        <v>367</v>
      </c>
      <c r="J77" s="30"/>
      <c r="K77" s="18">
        <f>MAX(K75,K76)</f>
        <v>-884.76237575447249</v>
      </c>
      <c r="M77" s="30" t="s">
        <v>368</v>
      </c>
      <c r="N77" s="27"/>
      <c r="O77" s="18">
        <f>MAX(O75,O76)</f>
        <v>-1130.4814571590296</v>
      </c>
      <c r="Q77" s="27" t="s">
        <v>369</v>
      </c>
      <c r="R77" s="28"/>
      <c r="S77" s="18">
        <f>MAX(S75,S76)</f>
        <v>-1390.2918373735156</v>
      </c>
    </row>
    <row r="78" spans="1:53">
      <c r="AI78" s="15" t="s">
        <v>370</v>
      </c>
      <c r="AK78" s="15" t="s">
        <v>371</v>
      </c>
      <c r="AM78" s="15" t="s">
        <v>372</v>
      </c>
      <c r="AO78" s="15" t="s">
        <v>373</v>
      </c>
      <c r="AQ78" s="18" t="s">
        <v>362</v>
      </c>
      <c r="AS78" s="18" t="s">
        <v>350</v>
      </c>
      <c r="AU78" s="18" t="s">
        <v>335</v>
      </c>
      <c r="AW78" s="18" t="s">
        <v>321</v>
      </c>
      <c r="AY78" s="20" t="s">
        <v>303</v>
      </c>
      <c r="AZ78" s="65" t="s">
        <v>374</v>
      </c>
      <c r="BA78" s="66"/>
    </row>
    <row r="79" spans="1:53">
      <c r="A79" s="37" t="s">
        <v>375</v>
      </c>
      <c r="B79" s="37"/>
      <c r="C79" s="37"/>
      <c r="E79" s="37" t="s">
        <v>376</v>
      </c>
      <c r="F79" s="37"/>
      <c r="G79" s="37"/>
      <c r="I79" s="30" t="s">
        <v>244</v>
      </c>
      <c r="J79" s="30"/>
      <c r="K79" s="30"/>
      <c r="M79" s="33" t="s">
        <v>377</v>
      </c>
      <c r="N79" s="34"/>
      <c r="O79" s="36"/>
      <c r="Q79" s="27" t="s">
        <v>378</v>
      </c>
      <c r="R79" s="29"/>
      <c r="S79" s="28"/>
      <c r="AI79" s="15">
        <f>A28*C15^17</f>
        <v>2408.1195836615143</v>
      </c>
      <c r="AK79" s="15">
        <f>A28*C15^17*C14</f>
        <v>2453.2995998706192</v>
      </c>
      <c r="AM79" s="15">
        <f>A28*C15^18*C14^2</f>
        <v>2453.2995998706192</v>
      </c>
      <c r="AO79" s="15">
        <f>A28*C15^17*C14^3</f>
        <v>2546.2184745960299</v>
      </c>
      <c r="AQ79" s="18">
        <f>A28*C15^17*C14^4</f>
        <v>2593.9894377718938</v>
      </c>
      <c r="AS79" s="18">
        <f>A28*C15^17*C14^5</f>
        <v>2642.6566574730791</v>
      </c>
      <c r="AU79" s="18">
        <f>A28*C15^17*C14^6</f>
        <v>2692.2369488463978</v>
      </c>
      <c r="AW79" s="18">
        <f>A28*C15^17*C14^7</f>
        <v>2742.7474425166029</v>
      </c>
      <c r="AY79" s="20">
        <f>A28*C15^17*C14^8</f>
        <v>2794.2055905052366</v>
      </c>
      <c r="AZ79" s="18">
        <f>IF(G3 = "CALL",MAX(AY79-C4,0),MAX(C4-AY79))</f>
        <v>605.79440949476339</v>
      </c>
    </row>
    <row r="80" spans="1:53">
      <c r="A80" s="37" t="s">
        <v>165</v>
      </c>
      <c r="B80" s="33"/>
      <c r="C80" s="19">
        <f>C19*(C17*AZ52 + C18*AZ55)</f>
        <v>-433.00017331794697</v>
      </c>
      <c r="E80" s="30" t="s">
        <v>379</v>
      </c>
      <c r="F80" s="27"/>
      <c r="G80" s="18">
        <f>C19*(C17*C75 + C18*C80)</f>
        <v>-505.31753155947501</v>
      </c>
      <c r="I80" s="30" t="s">
        <v>380</v>
      </c>
      <c r="J80" s="30"/>
      <c r="K80" s="18">
        <f>C19*(C17*G70 + C18*G75)</f>
        <v>-729.61870235266576</v>
      </c>
      <c r="M80" s="30" t="s">
        <v>310</v>
      </c>
      <c r="N80" s="27"/>
      <c r="O80" s="18">
        <f>C19*(C17*K70 + C18*K75)</f>
        <v>-966.74186138481832</v>
      </c>
      <c r="Q80" s="27" t="s">
        <v>310</v>
      </c>
      <c r="R80" s="28"/>
      <c r="S80" s="18">
        <f>C19*(C17*O70 + C18*O75)</f>
        <v>-1217.421813374682</v>
      </c>
    </row>
    <row r="81" spans="1:53">
      <c r="A81" s="37" t="s">
        <v>166</v>
      </c>
      <c r="B81" s="33"/>
      <c r="C81" s="19">
        <f xml:space="preserve"> IF(G3 = "call",MAX(AW52 - C4),MAX(C4 - AW52))</f>
        <v>-432.58248974395065</v>
      </c>
      <c r="E81" s="38" t="s">
        <v>381</v>
      </c>
      <c r="F81" s="39"/>
      <c r="G81" s="18">
        <f xml:space="preserve"> IF(G3 = "call",MAX(AU49 - C4),MAX(C4 - AU49))</f>
        <v>-504.48761446623757</v>
      </c>
      <c r="I81" s="30" t="s">
        <v>382</v>
      </c>
      <c r="J81" s="30"/>
      <c r="K81" s="18">
        <f xml:space="preserve"> IF(G3 = "call",MAX(AS43 - C4),MAX(C4 - AS43))</f>
        <v>-728.39900694180687</v>
      </c>
      <c r="M81" s="30" t="s">
        <v>313</v>
      </c>
      <c r="N81" s="27"/>
      <c r="O81" s="18">
        <f xml:space="preserve"> IF(G3 = "call",MAX(AQ37 - C4),MAX(C4 - AQ37))</f>
        <v>-965.15108855020753</v>
      </c>
      <c r="Q81" s="27" t="s">
        <v>313</v>
      </c>
      <c r="R81" s="28"/>
      <c r="S81" s="18">
        <f xml:space="preserve"> IF(G3 = "call",MAX(AO31 - C4),MAX(C4 - AO31))</f>
        <v>-1215.4802367288839</v>
      </c>
      <c r="AK81" s="15" t="s">
        <v>383</v>
      </c>
      <c r="AM81" s="15" t="s">
        <v>384</v>
      </c>
      <c r="AO81" s="15" t="s">
        <v>385</v>
      </c>
      <c r="AQ81" s="18" t="s">
        <v>373</v>
      </c>
      <c r="AS81" s="18" t="s">
        <v>362</v>
      </c>
      <c r="AU81" s="18" t="s">
        <v>350</v>
      </c>
      <c r="AW81" s="18" t="s">
        <v>335</v>
      </c>
      <c r="AY81" s="20" t="s">
        <v>321</v>
      </c>
      <c r="AZ81" s="65" t="s">
        <v>386</v>
      </c>
      <c r="BA81" s="66"/>
    </row>
    <row r="82" spans="1:53">
      <c r="A82" s="30" t="s">
        <v>167</v>
      </c>
      <c r="B82" s="27"/>
      <c r="C82" s="18">
        <f>MAX(C80,C81)</f>
        <v>-432.58248974395065</v>
      </c>
      <c r="E82" s="30" t="s">
        <v>387</v>
      </c>
      <c r="F82" s="27"/>
      <c r="G82" s="18">
        <f>MAX(G80,G81)</f>
        <v>-504.48761446623757</v>
      </c>
      <c r="I82" s="30" t="s">
        <v>388</v>
      </c>
      <c r="J82" s="30"/>
      <c r="K82" s="18">
        <f>MAX(K80,K81)</f>
        <v>-728.39900694180687</v>
      </c>
      <c r="M82" s="30" t="s">
        <v>389</v>
      </c>
      <c r="N82" s="27"/>
      <c r="O82" s="18">
        <f>MAX(O80,O81)</f>
        <v>-965.15108855020753</v>
      </c>
      <c r="Q82" s="27" t="s">
        <v>390</v>
      </c>
      <c r="R82" s="28"/>
      <c r="S82" s="18">
        <f>MAX(S80,S81)</f>
        <v>-1215.4802367288839</v>
      </c>
      <c r="U82" s="30" t="s">
        <v>391</v>
      </c>
      <c r="V82" s="30"/>
      <c r="AK82" s="15">
        <f>A28*C15^18</f>
        <v>2363.7716035660428</v>
      </c>
      <c r="AM82" s="15">
        <f>A28*C15^18*C14</f>
        <v>2408.1195836615143</v>
      </c>
      <c r="AO82" s="15">
        <f>A28*C15^18*C14^2</f>
        <v>2453.2995998706192</v>
      </c>
      <c r="AQ82" s="18">
        <f>A28*C15^18*C14^3</f>
        <v>2499.3272624667661</v>
      </c>
      <c r="AS82" s="18">
        <f>A28*C15^18*C14^4</f>
        <v>2546.2184745960299</v>
      </c>
      <c r="AU82" s="18">
        <f>A28*C15^18*C14^5</f>
        <v>2593.9894377718938</v>
      </c>
      <c r="AW82" s="18">
        <f>A28*C15^18*C14^6</f>
        <v>2642.6566574730791</v>
      </c>
      <c r="AY82" s="20">
        <f>A28*C15^18*C14^7</f>
        <v>2692.2369488463978</v>
      </c>
      <c r="AZ82" s="18">
        <f>IF(G3 = "CALL",MAX(AY82-C4,0),MAX(C4-AY82))</f>
        <v>707.76305115360219</v>
      </c>
    </row>
    <row r="84" spans="1:53">
      <c r="A84" s="37" t="s">
        <v>392</v>
      </c>
      <c r="B84" s="37"/>
      <c r="C84" s="37"/>
      <c r="E84" s="37" t="s">
        <v>393</v>
      </c>
      <c r="F84" s="37"/>
      <c r="G84" s="37"/>
      <c r="I84" s="30" t="s">
        <v>244</v>
      </c>
      <c r="J84" s="30"/>
      <c r="K84" s="30"/>
      <c r="M84" s="33" t="s">
        <v>394</v>
      </c>
      <c r="N84" s="34"/>
      <c r="O84" s="36"/>
      <c r="Q84" s="27" t="s">
        <v>395</v>
      </c>
      <c r="R84" s="29"/>
      <c r="S84" s="28"/>
      <c r="U84" s="33" t="s">
        <v>396</v>
      </c>
      <c r="V84" s="34"/>
      <c r="W84" s="28"/>
      <c r="AM84" s="15" t="s">
        <v>397</v>
      </c>
      <c r="AO84" s="15" t="s">
        <v>398</v>
      </c>
      <c r="AQ84" s="18" t="s">
        <v>385</v>
      </c>
      <c r="AS84" s="18" t="s">
        <v>373</v>
      </c>
      <c r="AU84" s="18" t="s">
        <v>362</v>
      </c>
      <c r="AW84" s="18" t="s">
        <v>350</v>
      </c>
      <c r="AY84" s="20" t="s">
        <v>335</v>
      </c>
      <c r="AZ84" s="37" t="s">
        <v>399</v>
      </c>
      <c r="BA84" s="30"/>
    </row>
    <row r="85" spans="1:53">
      <c r="A85" s="37" t="s">
        <v>165</v>
      </c>
      <c r="B85" s="33"/>
      <c r="C85" s="19">
        <f>C19*(C17*AZ55 + C18*AZ58)</f>
        <v>-293.14337186771462</v>
      </c>
      <c r="E85" s="30" t="s">
        <v>400</v>
      </c>
      <c r="F85" s="27"/>
      <c r="G85" s="18">
        <f>C19*(C17*C80 + C18*C85)</f>
        <v>-362.84211551272881</v>
      </c>
      <c r="I85" s="30" t="s">
        <v>401</v>
      </c>
      <c r="J85" s="30"/>
      <c r="K85" s="18">
        <f>C19*(C17*G75 + C18*G80)</f>
        <v>-578.97833954374494</v>
      </c>
      <c r="M85" s="30" t="s">
        <v>310</v>
      </c>
      <c r="N85" s="27"/>
      <c r="O85" s="18">
        <f>C19*(C17*K75 + C18*K80)</f>
        <v>-807.46863701495317</v>
      </c>
      <c r="Q85" s="27" t="s">
        <v>310</v>
      </c>
      <c r="R85" s="28"/>
      <c r="S85" s="18">
        <f>C19*(C17*O75 + C18*O80)</f>
        <v>-1049.0209974967272</v>
      </c>
      <c r="U85" s="30" t="s">
        <v>310</v>
      </c>
      <c r="V85" s="30"/>
      <c r="W85" s="25">
        <f>C19*(C17*S75 + C18*S80)</f>
        <v>-1304.3839838540191</v>
      </c>
      <c r="AM85" s="15">
        <f>A28*C15^19</f>
        <v>2320.2403367899151</v>
      </c>
      <c r="AO85" s="15">
        <f>A28*C15^19*C14</f>
        <v>2363.7716035660428</v>
      </c>
      <c r="AQ85" s="18">
        <f>A28*C15^19*C14^2</f>
        <v>2408.1195836615148</v>
      </c>
      <c r="AS85" s="18">
        <f>A28*C15^19*C14^3</f>
        <v>2453.2995998706197</v>
      </c>
      <c r="AU85" s="18">
        <f>A28*C15^19*C14^4</f>
        <v>2499.3272624667661</v>
      </c>
      <c r="AW85" s="18">
        <f>A28*C15^19*C14^5</f>
        <v>2546.2184745960303</v>
      </c>
      <c r="AY85" s="20">
        <f>A28*C15^19*C14^6</f>
        <v>2593.9894377718942</v>
      </c>
      <c r="AZ85" s="18">
        <f>IF(G3 = "CALL",MAX(AY85-C4,0),MAX(C4-AY85))</f>
        <v>806.01056222810575</v>
      </c>
    </row>
    <row r="86" spans="1:53">
      <c r="A86" s="37" t="s">
        <v>166</v>
      </c>
      <c r="B86" s="33"/>
      <c r="C86" s="19">
        <f xml:space="preserve"> IF(G3 = "call",MAX(AW55 - C4),MAX(C4 - AW55))</f>
        <v>-292.72047248487752</v>
      </c>
      <c r="E86" s="38" t="s">
        <v>402</v>
      </c>
      <c r="F86" s="39"/>
      <c r="G86" s="18">
        <f xml:space="preserve"> IF(G3 = "call",MAX(AU52 - C4),MAX(C4 - AU52))</f>
        <v>-362.00157128682622</v>
      </c>
      <c r="I86" s="30" t="s">
        <v>403</v>
      </c>
      <c r="J86" s="30"/>
      <c r="K86" s="18">
        <f xml:space="preserve"> IF(G3 = "call",MAX(AS46 - C4),MAX(C4 - AS46))</f>
        <v>-577.74178959387473</v>
      </c>
      <c r="M86" s="30" t="s">
        <v>313</v>
      </c>
      <c r="N86" s="27"/>
      <c r="O86" s="18">
        <f xml:space="preserve"> IF(G3 = "call",MAX(AQ40 - C4),MAX(C4 - AQ40))</f>
        <v>-805.8541031574523</v>
      </c>
      <c r="Q86" s="27" t="s">
        <v>313</v>
      </c>
      <c r="R86" s="28"/>
      <c r="S86" s="18">
        <f xml:space="preserve"> IF(G3 = "call",MAX(AO34 - C4),MAX(C4 - AO34))</f>
        <v>-1047.048016873021</v>
      </c>
      <c r="U86" s="31" t="s">
        <v>313</v>
      </c>
      <c r="V86" s="32"/>
      <c r="W86" s="18">
        <f xml:space="preserve"> IF(G3 = "call",MAX(AM28 - C4),MAX(C4 - AM28))</f>
        <v>-1302.0737237479761</v>
      </c>
    </row>
    <row r="87" spans="1:53">
      <c r="A87" s="30" t="s">
        <v>167</v>
      </c>
      <c r="B87" s="27"/>
      <c r="C87" s="18">
        <f>MAX(C85,C86)</f>
        <v>-292.72047248487752</v>
      </c>
      <c r="E87" s="30" t="s">
        <v>404</v>
      </c>
      <c r="F87" s="27"/>
      <c r="G87" s="18">
        <f>MAX(G85,G86)</f>
        <v>-362.00157128682622</v>
      </c>
      <c r="I87" s="30" t="s">
        <v>405</v>
      </c>
      <c r="J87" s="30"/>
      <c r="K87" s="18">
        <f>MAX(K85,K86)</f>
        <v>-577.74178959387473</v>
      </c>
      <c r="M87" s="30" t="s">
        <v>406</v>
      </c>
      <c r="N87" s="27"/>
      <c r="O87" s="18">
        <f>MAX(O85,O86)</f>
        <v>-805.8541031574523</v>
      </c>
      <c r="Q87" s="27" t="s">
        <v>407</v>
      </c>
      <c r="R87" s="28"/>
      <c r="S87" s="18">
        <f>MAX(S85,S86)</f>
        <v>-1047.048016873021</v>
      </c>
      <c r="U87" s="27" t="s">
        <v>408</v>
      </c>
      <c r="V87" s="28"/>
      <c r="W87" s="18">
        <f>MAX(W85,W86)</f>
        <v>-1302.0737237479761</v>
      </c>
      <c r="AO87" s="15" t="s">
        <v>409</v>
      </c>
      <c r="AQ87" s="18" t="s">
        <v>398</v>
      </c>
      <c r="AS87" s="18" t="s">
        <v>385</v>
      </c>
      <c r="AU87" s="18" t="s">
        <v>373</v>
      </c>
      <c r="AW87" s="18" t="s">
        <v>362</v>
      </c>
      <c r="AY87" s="20" t="s">
        <v>350</v>
      </c>
      <c r="AZ87" s="65" t="s">
        <v>410</v>
      </c>
      <c r="BA87" s="66"/>
    </row>
    <row r="88" spans="1:53">
      <c r="AO88" s="15">
        <f>A28*C15^20</f>
        <v>2277.5107427237376</v>
      </c>
      <c r="AQ88" s="18">
        <f>A28*C15^20*C14^1</f>
        <v>2320.2403367899151</v>
      </c>
      <c r="AS88" s="18">
        <f>A28*C15^20*C14^2</f>
        <v>2363.7716035660433</v>
      </c>
      <c r="AU88" s="18">
        <f>A28*C15^20*C14^3</f>
        <v>2408.1195836615148</v>
      </c>
      <c r="AW88" s="18">
        <f>A28*C15^20*C14^4</f>
        <v>2453.2995998706197</v>
      </c>
      <c r="AY88" s="20">
        <f>A28*C15^20*C14^5</f>
        <v>2499.3272624667666</v>
      </c>
      <c r="AZ88" s="18">
        <f>IF(G3 = "CALL",MAX(AY88-C4,0),MAX(C4-AY88))</f>
        <v>900.67273753323343</v>
      </c>
    </row>
    <row r="89" spans="1:53">
      <c r="A89" s="37" t="s">
        <v>411</v>
      </c>
      <c r="B89" s="37"/>
      <c r="C89" s="37"/>
      <c r="E89" s="37" t="s">
        <v>412</v>
      </c>
      <c r="F89" s="37"/>
      <c r="G89" s="37"/>
      <c r="I89" s="30" t="s">
        <v>244</v>
      </c>
      <c r="J89" s="30"/>
      <c r="K89" s="30"/>
      <c r="M89" s="33" t="s">
        <v>307</v>
      </c>
      <c r="N89" s="34"/>
      <c r="O89" s="36"/>
      <c r="Q89" s="27" t="s">
        <v>413</v>
      </c>
      <c r="R89" s="29"/>
      <c r="S89" s="28"/>
      <c r="U89" s="33" t="s">
        <v>414</v>
      </c>
      <c r="V89" s="34"/>
      <c r="W89" s="28"/>
    </row>
    <row r="90" spans="1:53">
      <c r="A90" s="37" t="s">
        <v>165</v>
      </c>
      <c r="B90" s="33"/>
      <c r="C90" s="19">
        <f>C19*(C17*AZ58 + C18*AZ61)</f>
        <v>-158.39034950914584</v>
      </c>
      <c r="E90" s="30" t="s">
        <v>415</v>
      </c>
      <c r="F90" s="27"/>
      <c r="G90" s="18">
        <f>C19*(C17*C85 + C18*C90)</f>
        <v>-225.56603937619931</v>
      </c>
      <c r="I90" s="30" t="s">
        <v>416</v>
      </c>
      <c r="J90" s="30"/>
      <c r="K90" s="18">
        <f>C19*(C17*G80 + C18*G85)</f>
        <v>-433.83527916196687</v>
      </c>
      <c r="M90" s="30" t="s">
        <v>310</v>
      </c>
      <c r="N90" s="27"/>
      <c r="O90" s="18">
        <f>C19*(C17*K80 + C18*K85)</f>
        <v>-654.00775315317583</v>
      </c>
      <c r="Q90" s="27" t="s">
        <v>310</v>
      </c>
      <c r="R90" s="28"/>
      <c r="S90" s="18">
        <f>C19*(C17*O80 + C18*O85)</f>
        <v>-886.76561433412598</v>
      </c>
      <c r="U90" s="30" t="s">
        <v>310</v>
      </c>
      <c r="V90" s="30"/>
      <c r="W90" s="25">
        <f>C19*(C17*S80 + C18*S85)</f>
        <v>-1132.8301083468562</v>
      </c>
      <c r="AQ90" s="18" t="s">
        <v>409</v>
      </c>
      <c r="AS90" s="18" t="s">
        <v>398</v>
      </c>
      <c r="AU90" s="18" t="s">
        <v>385</v>
      </c>
      <c r="AW90" s="18" t="s">
        <v>373</v>
      </c>
      <c r="AY90" s="20" t="s">
        <v>362</v>
      </c>
      <c r="AZ90" s="65" t="s">
        <v>417</v>
      </c>
      <c r="BA90" s="66"/>
    </row>
    <row r="91" spans="1:53">
      <c r="A91" s="37" t="s">
        <v>166</v>
      </c>
      <c r="B91" s="33"/>
      <c r="C91" s="19">
        <f xml:space="preserve"> IF(G3 = "call",MAX(AW58 - C4),MAX(C4 - AW58))</f>
        <v>-157.96242465741489</v>
      </c>
      <c r="E91" s="38" t="s">
        <v>418</v>
      </c>
      <c r="F91" s="39"/>
      <c r="G91" s="18">
        <f xml:space="preserve"> IF(G3 = "call",MAX(AU55 - C4),MAX(C4 - AU55))</f>
        <v>-224.71525583243147</v>
      </c>
      <c r="I91" s="30" t="s">
        <v>419</v>
      </c>
      <c r="J91" s="30"/>
      <c r="K91" s="18">
        <f xml:space="preserve"> IF(G3 = "call",MAX(AS49 - C4),MAX(C4 - AS49))</f>
        <v>-432.58248974395019</v>
      </c>
      <c r="M91" s="30" t="s">
        <v>313</v>
      </c>
      <c r="N91" s="27"/>
      <c r="O91" s="18">
        <f xml:space="preserve"> IF(G3 = "call",MAX(AQ43 - C4),MAX(C4 - AQ43))</f>
        <v>-652.37032538121821</v>
      </c>
      <c r="Q91" s="27" t="s">
        <v>313</v>
      </c>
      <c r="R91" s="28"/>
      <c r="S91" s="18">
        <f xml:space="preserve"> IF(G3 = "call",MAX(AO37 - C4),MAX(C4 - AO37))</f>
        <v>-884.76237575447158</v>
      </c>
      <c r="U91" s="31" t="s">
        <v>313</v>
      </c>
      <c r="V91" s="32"/>
      <c r="W91" s="18">
        <f xml:space="preserve"> IF(G3 = "call",MAX(AM31 - C4),MAX(C4 - AM31))</f>
        <v>-1130.4814571590296</v>
      </c>
      <c r="AQ91" s="18">
        <f>A28*C15^21</f>
        <v>2235.5680577462908</v>
      </c>
      <c r="AS91" s="18">
        <f>A28*C15^21*C14</f>
        <v>2277.5107427237372</v>
      </c>
      <c r="AU91" s="18">
        <f>A28*C15^21*C14^2</f>
        <v>2320.2403367899151</v>
      </c>
      <c r="AW91" s="18">
        <f>A28*C15^21*C14^3</f>
        <v>2363.7716035660433</v>
      </c>
      <c r="AY91" s="20">
        <f>A28*C15^21*C14^4</f>
        <v>2408.1195836615148</v>
      </c>
      <c r="AZ91" s="18">
        <f>IF(G3 = "CALL",MAX(AY91-C4,0),MAX(C4-AY91))</f>
        <v>991.88041633848525</v>
      </c>
    </row>
    <row r="92" spans="1:53">
      <c r="A92" s="30" t="s">
        <v>167</v>
      </c>
      <c r="B92" s="27"/>
      <c r="C92" s="18">
        <f>MAX(C90,C91)</f>
        <v>-157.96242465741489</v>
      </c>
      <c r="E92" s="30" t="s">
        <v>420</v>
      </c>
      <c r="F92" s="27"/>
      <c r="G92" s="18">
        <f>MAX(G90,G91)</f>
        <v>-224.71525583243147</v>
      </c>
      <c r="I92" s="30" t="s">
        <v>421</v>
      </c>
      <c r="J92" s="30"/>
      <c r="K92" s="18">
        <f>MAX(K90,K91)</f>
        <v>-432.58248974395019</v>
      </c>
      <c r="M92" s="30" t="s">
        <v>422</v>
      </c>
      <c r="N92" s="27"/>
      <c r="O92" s="18">
        <f>MAX(O90,O91)</f>
        <v>-652.37032538121821</v>
      </c>
      <c r="Q92" s="27" t="s">
        <v>423</v>
      </c>
      <c r="R92" s="28"/>
      <c r="S92" s="18">
        <f>MAX(S90,S91)</f>
        <v>-884.76237575447158</v>
      </c>
      <c r="U92" s="27" t="s">
        <v>424</v>
      </c>
      <c r="V92" s="28"/>
      <c r="W92" s="18">
        <f>MAX(W90,W91)</f>
        <v>-1130.4814571590296</v>
      </c>
      <c r="Y92" s="27" t="s">
        <v>425</v>
      </c>
      <c r="Z92" s="28"/>
    </row>
    <row r="93" spans="1:53">
      <c r="AS93" s="18" t="s">
        <v>409</v>
      </c>
      <c r="AU93" s="18" t="s">
        <v>398</v>
      </c>
      <c r="AW93" s="18" t="s">
        <v>385</v>
      </c>
      <c r="AY93" s="20" t="s">
        <v>373</v>
      </c>
      <c r="AZ93" s="65" t="s">
        <v>426</v>
      </c>
      <c r="BA93" s="66"/>
    </row>
    <row r="94" spans="1:53">
      <c r="A94" s="37" t="s">
        <v>427</v>
      </c>
      <c r="B94" s="37"/>
      <c r="C94" s="37"/>
      <c r="E94" s="37" t="s">
        <v>428</v>
      </c>
      <c r="F94" s="37"/>
      <c r="G94" s="37"/>
      <c r="I94" s="30" t="s">
        <v>244</v>
      </c>
      <c r="J94" s="30"/>
      <c r="K94" s="30"/>
      <c r="M94" s="33" t="s">
        <v>307</v>
      </c>
      <c r="N94" s="34"/>
      <c r="O94" s="36"/>
      <c r="Q94" s="27" t="s">
        <v>429</v>
      </c>
      <c r="R94" s="29"/>
      <c r="S94" s="28"/>
      <c r="U94" s="33" t="s">
        <v>430</v>
      </c>
      <c r="V94" s="34"/>
      <c r="W94" s="28"/>
      <c r="Y94" s="27" t="s">
        <v>431</v>
      </c>
      <c r="Z94" s="29"/>
      <c r="AA94" s="28"/>
      <c r="AS94" s="18">
        <f>A28*C15^22</f>
        <v>2194.3977901235103</v>
      </c>
      <c r="AU94" s="18">
        <f>A28*C15^22*C14^1</f>
        <v>2235.5680577462913</v>
      </c>
      <c r="AW94" s="18">
        <f>A28*C15^22*C14^2</f>
        <v>2277.5107427237381</v>
      </c>
      <c r="AY94" s="20">
        <f>A28*C15^22*C14^3</f>
        <v>2320.2403367899155</v>
      </c>
      <c r="AZ94" s="18">
        <f>IF(G3 = "CALL",MAX(AY94-C4,0),MAX(C4-AY94))</f>
        <v>1079.7596632100845</v>
      </c>
    </row>
    <row r="95" spans="1:53">
      <c r="A95" s="37" t="s">
        <v>165</v>
      </c>
      <c r="B95" s="33"/>
      <c r="C95" s="19">
        <f>C19*(C17*AZ61 + C18*AZ64)</f>
        <v>-28.554854585214596</v>
      </c>
      <c r="E95" s="30" t="s">
        <v>432</v>
      </c>
      <c r="F95" s="27"/>
      <c r="G95" s="18">
        <f>C19*(C17*C90 + C18*C95)</f>
        <v>-93.29956420226992</v>
      </c>
      <c r="I95" s="30" t="s">
        <v>433</v>
      </c>
      <c r="J95" s="30"/>
      <c r="K95" s="18">
        <f>C19*(C17*G85 + C18*G90)</f>
        <v>-293.9889087458904</v>
      </c>
      <c r="M95" s="30" t="s">
        <v>310</v>
      </c>
      <c r="N95" s="27"/>
      <c r="O95" s="18">
        <f>C19*(C17*K85 + C18*K90)</f>
        <v>-506.14710068751424</v>
      </c>
      <c r="Q95" s="27" t="s">
        <v>310</v>
      </c>
      <c r="R95" s="28"/>
      <c r="S95" s="18">
        <f>C19*(C17*O85 + C18*O90)</f>
        <v>-730.43139927710195</v>
      </c>
      <c r="U95" s="30" t="s">
        <v>310</v>
      </c>
      <c r="V95" s="30"/>
      <c r="W95" s="25">
        <f>C19*(C17*S85 + C18*S90)</f>
        <v>-967.53672981823252</v>
      </c>
      <c r="Y95" s="27" t="s">
        <v>310</v>
      </c>
      <c r="Z95" s="28"/>
      <c r="AA95" s="18">
        <f>C19*(C17*W85 + C18*W90)</f>
        <v>-1218.1978422252155</v>
      </c>
    </row>
    <row r="96" spans="1:53">
      <c r="A96" s="37" t="s">
        <v>166</v>
      </c>
      <c r="B96" s="33"/>
      <c r="C96" s="19">
        <f xml:space="preserve"> IF(G3 = "call",MAX(AW61 - C4),MAX(C4 - AW61))</f>
        <v>-28.122087658481632</v>
      </c>
      <c r="E96" s="38" t="s">
        <v>434</v>
      </c>
      <c r="F96" s="39"/>
      <c r="G96" s="18">
        <f xml:space="preserve"> IF(G3 = "call",MAX(AU58 - C4),MAX(C4 - AU58))</f>
        <v>-92.438915002953763</v>
      </c>
      <c r="I96" s="30" t="s">
        <v>435</v>
      </c>
      <c r="J96" s="30"/>
      <c r="K96" s="18">
        <f xml:space="preserve"> IF(G3 = "call",MAX(AS52 - C4),MAX(C4 - AS52))</f>
        <v>-292.72047248487752</v>
      </c>
      <c r="M96" s="30" t="s">
        <v>313</v>
      </c>
      <c r="N96" s="27"/>
      <c r="O96" s="18">
        <f xml:space="preserve"> IF(G3 = "call",MAX(AQ46 - C4),MAX(C4 - AQ46))</f>
        <v>-504.48761446623712</v>
      </c>
      <c r="Q96" s="27" t="s">
        <v>313</v>
      </c>
      <c r="R96" s="28"/>
      <c r="S96" s="18">
        <f xml:space="preserve"> IF(G3 = "call",MAX(AO40 - C4),MAX(C4 - AO40))</f>
        <v>-728.39900694180687</v>
      </c>
      <c r="U96" s="31" t="s">
        <v>313</v>
      </c>
      <c r="V96" s="32"/>
      <c r="W96" s="18">
        <f xml:space="preserve"> IF(G3 = "call",MAX(AM34 - C4),MAX(C4 - AM34))</f>
        <v>-965.15108855020662</v>
      </c>
      <c r="Y96" s="27" t="s">
        <v>313</v>
      </c>
      <c r="Z96" s="28"/>
      <c r="AA96" s="18">
        <f xml:space="preserve"> IF(G3 = "call",MAX(AK28 - C4),MAX(C4 - AK28))</f>
        <v>-1215.4802367288839</v>
      </c>
      <c r="AU96" s="18" t="s">
        <v>409</v>
      </c>
      <c r="AW96" s="18" t="s">
        <v>398</v>
      </c>
      <c r="AY96" s="21" t="s">
        <v>385</v>
      </c>
      <c r="AZ96" s="65" t="s">
        <v>436</v>
      </c>
      <c r="BA96" s="66"/>
    </row>
    <row r="97" spans="1:53">
      <c r="A97" s="30" t="s">
        <v>167</v>
      </c>
      <c r="B97" s="27"/>
      <c r="C97" s="18">
        <f>MAX(C95,C96)</f>
        <v>-28.122087658481632</v>
      </c>
      <c r="E97" s="30" t="s">
        <v>437</v>
      </c>
      <c r="F97" s="27"/>
      <c r="G97" s="18">
        <f>MAX(G95,G96)</f>
        <v>-92.438915002953763</v>
      </c>
      <c r="I97" s="30" t="s">
        <v>438</v>
      </c>
      <c r="J97" s="30"/>
      <c r="K97" s="18">
        <f>MAX(K95,K96)</f>
        <v>-292.72047248487752</v>
      </c>
      <c r="M97" s="30" t="s">
        <v>439</v>
      </c>
      <c r="N97" s="27"/>
      <c r="O97" s="18">
        <f>MAX(O95,O96)</f>
        <v>-504.48761446623712</v>
      </c>
      <c r="Q97" s="27" t="s">
        <v>440</v>
      </c>
      <c r="R97" s="28"/>
      <c r="S97" s="18">
        <f>MAX(S95,S96)</f>
        <v>-728.39900694180687</v>
      </c>
      <c r="U97" s="27" t="s">
        <v>441</v>
      </c>
      <c r="V97" s="28"/>
      <c r="W97" s="18">
        <f>MAX(W95,W96)</f>
        <v>-965.15108855020662</v>
      </c>
      <c r="Y97" s="27" t="s">
        <v>442</v>
      </c>
      <c r="Z97" s="28"/>
      <c r="AA97" s="18">
        <f>MAX(AA95,AA96)</f>
        <v>-1215.4802367288839</v>
      </c>
      <c r="AU97" s="18">
        <f>A28*C15^23</f>
        <v>2153.9857150014045</v>
      </c>
      <c r="AW97" s="18">
        <f>A28*C15^23*C14</f>
        <v>2194.3977901235107</v>
      </c>
      <c r="AY97" s="20">
        <f>A28*C15^23*C14^2</f>
        <v>2235.5680577462917</v>
      </c>
      <c r="AZ97" s="18">
        <f>IF(G3 = "CALL",MAX(AY97-C4,0),MAX(C4-AY97))</f>
        <v>1164.4319422537083</v>
      </c>
    </row>
    <row r="99" spans="1:53">
      <c r="A99" s="37" t="s">
        <v>443</v>
      </c>
      <c r="B99" s="37"/>
      <c r="C99" s="37"/>
      <c r="E99" s="37" t="s">
        <v>444</v>
      </c>
      <c r="F99" s="37"/>
      <c r="G99" s="37"/>
      <c r="I99" s="30" t="s">
        <v>244</v>
      </c>
      <c r="J99" s="30"/>
      <c r="K99" s="30"/>
      <c r="M99" s="33" t="s">
        <v>307</v>
      </c>
      <c r="N99" s="34"/>
      <c r="O99" s="36"/>
      <c r="Q99" s="27" t="s">
        <v>445</v>
      </c>
      <c r="R99" s="29"/>
      <c r="S99" s="28"/>
      <c r="U99" s="33" t="s">
        <v>446</v>
      </c>
      <c r="V99" s="34"/>
      <c r="W99" s="28"/>
      <c r="Y99" s="27" t="s">
        <v>447</v>
      </c>
      <c r="Z99" s="29"/>
      <c r="AA99" s="28"/>
      <c r="AW99" s="18" t="s">
        <v>409</v>
      </c>
      <c r="AY99" s="20" t="s">
        <v>398</v>
      </c>
      <c r="AZ99" s="65" t="s">
        <v>448</v>
      </c>
      <c r="BA99" s="66"/>
    </row>
    <row r="100" spans="1:53">
      <c r="A100" s="37" t="s">
        <v>165</v>
      </c>
      <c r="B100" s="33"/>
      <c r="C100" s="19">
        <f>C19*(C17*AZ64 + C18*AZ67)</f>
        <v>96.542567699579692</v>
      </c>
      <c r="E100" s="30" t="s">
        <v>449</v>
      </c>
      <c r="F100" s="27"/>
      <c r="G100" s="18">
        <f>C19*(C17*C95 + C18*C100)</f>
        <v>34.140124833832772</v>
      </c>
      <c r="I100" s="30" t="s">
        <v>450</v>
      </c>
      <c r="J100" s="30"/>
      <c r="K100" s="18">
        <f>C19*(C17*G90 + C18*G95)</f>
        <v>-159.24593676287913</v>
      </c>
      <c r="M100" s="30" t="s">
        <v>310</v>
      </c>
      <c r="N100" s="27"/>
      <c r="O100" s="18">
        <f>C19*(C17*K90 + C18*K95)</f>
        <v>-363.68231098082259</v>
      </c>
      <c r="Q100" s="27" t="s">
        <v>310</v>
      </c>
      <c r="R100" s="28"/>
      <c r="S100" s="18">
        <f>C19*(C17*O90 + C18*O95)</f>
        <v>-579.80227177996744</v>
      </c>
      <c r="U100" s="30" t="s">
        <v>310</v>
      </c>
      <c r="V100" s="30"/>
      <c r="W100" s="25">
        <f>C19*(C17*S90 + C18*S95)</f>
        <v>-808.27538463069027</v>
      </c>
      <c r="Y100" s="27" t="s">
        <v>310</v>
      </c>
      <c r="Z100" s="28"/>
      <c r="AA100" s="18">
        <f>C19*(C17*W90 + C18*W95)</f>
        <v>-1049.8095862988973</v>
      </c>
      <c r="AW100" s="18">
        <f>A28*C15^24</f>
        <v>2114.3178694911876</v>
      </c>
      <c r="AY100" s="22">
        <f>A28*C15^24*C14</f>
        <v>2153.9857150014041</v>
      </c>
      <c r="AZ100" s="18">
        <f>IF(G3 = "CALL",MAX(AY100-C4,0),MAX(C4-AY100))</f>
        <v>1246.0142849985959</v>
      </c>
    </row>
    <row r="101" spans="1:53">
      <c r="A101" s="37" t="s">
        <v>166</v>
      </c>
      <c r="B101" s="33"/>
      <c r="C101" s="19">
        <f xml:space="preserve"> IF(G3 = "call",MAX(AW64 - C4),MAX(C4 - AW64))</f>
        <v>96.979999999997744</v>
      </c>
      <c r="E101" s="38" t="s">
        <v>451</v>
      </c>
      <c r="F101" s="39"/>
      <c r="G101" s="18">
        <f xml:space="preserve"> IF(G3 = "call",MAX(AU61 - C4),MAX(C4 - AU61))</f>
        <v>35.010279662399171</v>
      </c>
      <c r="I101" s="30" t="s">
        <v>452</v>
      </c>
      <c r="J101" s="30"/>
      <c r="K101" s="18">
        <f xml:space="preserve"> IF(G3 = "call",MAX(AS55 - C4),MAX(C4 - AS55))</f>
        <v>-157.96242465741489</v>
      </c>
      <c r="M101" s="30" t="s">
        <v>313</v>
      </c>
      <c r="N101" s="27"/>
      <c r="O101" s="18">
        <f xml:space="preserve"> IF(G3 = "call",MAX(AQ49 - C4),MAX(C4 - AQ49))</f>
        <v>-362.00157128682577</v>
      </c>
      <c r="Q101" s="27" t="s">
        <v>313</v>
      </c>
      <c r="R101" s="28"/>
      <c r="S101" s="18">
        <f xml:space="preserve"> IF(G3 = "call",MAX(AO43 - C4),MAX(C4 - AO43))</f>
        <v>-577.74178959387518</v>
      </c>
      <c r="U101" s="31" t="s">
        <v>313</v>
      </c>
      <c r="V101" s="32"/>
      <c r="W101" s="18">
        <f xml:space="preserve"> IF(G3 = "call",MAX(AM37 - C4),MAX(C4 - AM37))</f>
        <v>-805.8541031574523</v>
      </c>
      <c r="Y101" s="27" t="s">
        <v>313</v>
      </c>
      <c r="Z101" s="28"/>
      <c r="AA101" s="18">
        <f xml:space="preserve"> IF(G3 = "call",MAX(AK31 - C4),MAX(C4 - AK31))</f>
        <v>-1047.0480168730201</v>
      </c>
    </row>
    <row r="102" spans="1:53">
      <c r="A102" s="30" t="s">
        <v>167</v>
      </c>
      <c r="B102" s="27"/>
      <c r="C102" s="18">
        <f>MAX(C100,C101)</f>
        <v>96.979999999997744</v>
      </c>
      <c r="E102" s="30" t="s">
        <v>453</v>
      </c>
      <c r="F102" s="27"/>
      <c r="G102" s="18">
        <f>MAX(G100,G101)</f>
        <v>35.010279662399171</v>
      </c>
      <c r="I102" s="30" t="s">
        <v>454</v>
      </c>
      <c r="J102" s="30"/>
      <c r="K102" s="18">
        <f>MAX(K100,K101)</f>
        <v>-157.96242465741489</v>
      </c>
      <c r="M102" s="30" t="s">
        <v>455</v>
      </c>
      <c r="N102" s="27"/>
      <c r="O102" s="18">
        <f>MAX(O100,O101)</f>
        <v>-362.00157128682577</v>
      </c>
      <c r="Q102" s="27" t="s">
        <v>456</v>
      </c>
      <c r="R102" s="28"/>
      <c r="S102" s="18">
        <f>MAX(S100,S101)</f>
        <v>-577.74178959387518</v>
      </c>
      <c r="U102" s="27" t="s">
        <v>457</v>
      </c>
      <c r="V102" s="28"/>
      <c r="W102" s="18">
        <f>MAX(W100,W101)</f>
        <v>-805.8541031574523</v>
      </c>
      <c r="Y102" s="27" t="s">
        <v>458</v>
      </c>
      <c r="Z102" s="28"/>
      <c r="AA102" s="18">
        <f>MAX(AA100,AA101)</f>
        <v>-1047.0480168730201</v>
      </c>
      <c r="AC102" s="30" t="s">
        <v>459</v>
      </c>
      <c r="AD102" s="30"/>
      <c r="AY102" s="21" t="s">
        <v>409</v>
      </c>
      <c r="AZ102" s="70" t="s">
        <v>460</v>
      </c>
      <c r="BA102" s="71"/>
    </row>
    <row r="103" spans="1:53">
      <c r="AY103" s="20">
        <f>A28*C15^25</f>
        <v>2075.3805478449244</v>
      </c>
      <c r="AZ103" s="18">
        <f>IF(G3 = "CALL",MAX(AY103-C4,0),MAX(C4-AY103))</f>
        <v>1324.6194521550756</v>
      </c>
    </row>
    <row r="104" spans="1:53">
      <c r="A104" s="37" t="s">
        <v>461</v>
      </c>
      <c r="B104" s="37"/>
      <c r="C104" s="37"/>
      <c r="E104" s="37" t="s">
        <v>462</v>
      </c>
      <c r="F104" s="37"/>
      <c r="G104" s="37"/>
      <c r="I104" s="30" t="s">
        <v>244</v>
      </c>
      <c r="J104" s="30"/>
      <c r="K104" s="30"/>
      <c r="M104" s="33" t="s">
        <v>307</v>
      </c>
      <c r="N104" s="34"/>
      <c r="O104" s="36"/>
      <c r="Q104" s="27" t="s">
        <v>463</v>
      </c>
      <c r="R104" s="29"/>
      <c r="S104" s="28"/>
      <c r="U104" s="33" t="s">
        <v>464</v>
      </c>
      <c r="V104" s="34"/>
      <c r="W104" s="28"/>
      <c r="Y104" s="27" t="s">
        <v>465</v>
      </c>
      <c r="Z104" s="29"/>
      <c r="AA104" s="28"/>
      <c r="AC104" s="27" t="s">
        <v>466</v>
      </c>
      <c r="AD104" s="29"/>
      <c r="AE104" s="28"/>
    </row>
    <row r="105" spans="1:53">
      <c r="A105" s="37" t="s">
        <v>165</v>
      </c>
      <c r="B105" s="33"/>
      <c r="C105" s="19">
        <f>C19*(C17*AZ67 + C18*AZ70)</f>
        <v>217.07482331634228</v>
      </c>
      <c r="E105" s="30" t="s">
        <v>467</v>
      </c>
      <c r="F105" s="27"/>
      <c r="G105" s="18">
        <f>C19*(C17*C100 + C18*C105)</f>
        <v>156.92917111530326</v>
      </c>
      <c r="I105" s="30" t="s">
        <v>468</v>
      </c>
      <c r="J105" s="30"/>
      <c r="K105" s="18">
        <f>C19*(C17*G95 + C18*G100)</f>
        <v>-29.420125447239741</v>
      </c>
      <c r="M105" s="30" t="s">
        <v>310</v>
      </c>
      <c r="N105" s="27"/>
      <c r="O105" s="18">
        <f>C19*(C17*K95 + C18*K100)</f>
        <v>-226.41647339847233</v>
      </c>
      <c r="Q105" s="27" t="s">
        <v>310</v>
      </c>
      <c r="R105" s="28"/>
      <c r="S105" s="18">
        <f>C19*(C17*O95 + C18*O100)</f>
        <v>-434.67003670096062</v>
      </c>
      <c r="U105" s="30" t="s">
        <v>310</v>
      </c>
      <c r="V105" s="30"/>
      <c r="W105" s="25">
        <f>C19*(C17*S95 + C18*S100)</f>
        <v>-654.8259464455233</v>
      </c>
      <c r="Y105" s="27" t="s">
        <v>310</v>
      </c>
      <c r="Z105" s="28"/>
      <c r="AA105" s="18">
        <f>C19*(C17*W95 + C18*W100)</f>
        <v>-887.56630473897974</v>
      </c>
      <c r="AC105" s="27" t="s">
        <v>310</v>
      </c>
      <c r="AD105" s="28"/>
      <c r="AE105" s="18">
        <f>C19*(C17*AA95 + C18*AA100)</f>
        <v>-1133.612303430215</v>
      </c>
    </row>
    <row r="106" spans="1:53">
      <c r="A106" s="37" t="s">
        <v>166</v>
      </c>
      <c r="B106" s="33"/>
      <c r="C106" s="19">
        <f xml:space="preserve"> IF(G3 = "call",MAX(AW67 - C4),MAX(C4 - AW67))</f>
        <v>217.51675073746856</v>
      </c>
      <c r="E106" s="38" t="s">
        <v>469</v>
      </c>
      <c r="F106" s="39"/>
      <c r="G106" s="18">
        <f xml:space="preserve"> IF(G3 = "call",MAX(AU64 - C4),MAX(C4 - AU64))</f>
        <v>157.80848468522254</v>
      </c>
      <c r="I106" s="30" t="s">
        <v>470</v>
      </c>
      <c r="J106" s="30"/>
      <c r="K106" s="18">
        <f xml:space="preserve"> IF(G3 = "call",MAX(AS58 - C4),MAX(C4 - AS58))</f>
        <v>-28.122087658480723</v>
      </c>
      <c r="M106" s="30" t="s">
        <v>313</v>
      </c>
      <c r="N106" s="27"/>
      <c r="O106" s="18">
        <f xml:space="preserve"> IF(G3 = "call",MAX(AQ52 - C4),MAX(C4 - AQ52))</f>
        <v>-224.71525583243147</v>
      </c>
      <c r="Q106" s="27" t="s">
        <v>313</v>
      </c>
      <c r="R106" s="28"/>
      <c r="S106" s="18">
        <f xml:space="preserve"> IF(G3 = "call",MAX(AO46 - C4),MAX(C4 - AO46))</f>
        <v>-432.58248974394974</v>
      </c>
      <c r="U106" s="31" t="s">
        <v>313</v>
      </c>
      <c r="V106" s="32"/>
      <c r="W106" s="18">
        <f xml:space="preserve"> IF(G3 = "call",MAX(AM40 - C4),MAX(C4 - AM40))</f>
        <v>-652.37032538121775</v>
      </c>
      <c r="Y106" s="27" t="s">
        <v>313</v>
      </c>
      <c r="Z106" s="28"/>
      <c r="AA106" s="18">
        <f xml:space="preserve"> IF(G3 = "call",MAX(AK34 - C4),MAX(C4 - AK34))</f>
        <v>-884.76237575447249</v>
      </c>
      <c r="AC106" s="27" t="s">
        <v>313</v>
      </c>
      <c r="AD106" s="28"/>
      <c r="AE106" s="18">
        <f xml:space="preserve"> IF(G3 = "call",MAX(AI28 - C4),MAX(C4 - AI28))</f>
        <v>-1130.4814571590287</v>
      </c>
    </row>
    <row r="107" spans="1:53">
      <c r="A107" s="30" t="s">
        <v>167</v>
      </c>
      <c r="B107" s="27"/>
      <c r="C107" s="18">
        <f>MAX(C105,C106)</f>
        <v>217.51675073746856</v>
      </c>
      <c r="E107" s="30" t="s">
        <v>471</v>
      </c>
      <c r="F107" s="27"/>
      <c r="G107" s="18">
        <f>MAX(G105,G106)</f>
        <v>157.80848468522254</v>
      </c>
      <c r="I107" s="30" t="s">
        <v>472</v>
      </c>
      <c r="J107" s="30"/>
      <c r="K107" s="18">
        <f>MAX(K105,K106)</f>
        <v>-28.122087658480723</v>
      </c>
      <c r="M107" s="30" t="s">
        <v>473</v>
      </c>
      <c r="N107" s="27"/>
      <c r="O107" s="18">
        <f>MAX(O105,O106)</f>
        <v>-224.71525583243147</v>
      </c>
      <c r="Q107" s="27" t="s">
        <v>474</v>
      </c>
      <c r="R107" s="28"/>
      <c r="S107" s="18">
        <f>MAX(S105,S106)</f>
        <v>-432.58248974394974</v>
      </c>
      <c r="U107" s="27" t="s">
        <v>475</v>
      </c>
      <c r="V107" s="28"/>
      <c r="W107" s="18">
        <f>MAX(W105,W106)</f>
        <v>-652.37032538121775</v>
      </c>
      <c r="Y107" s="27" t="s">
        <v>476</v>
      </c>
      <c r="Z107" s="28"/>
      <c r="AA107" s="18">
        <f>MAX(AA105,AA106)</f>
        <v>-884.76237575447249</v>
      </c>
      <c r="AC107" s="27" t="s">
        <v>477</v>
      </c>
      <c r="AD107" s="28"/>
      <c r="AE107" s="18">
        <f>MAX(AE105,AE106)</f>
        <v>-1130.4814571590287</v>
      </c>
    </row>
    <row r="109" spans="1:53">
      <c r="A109" s="37" t="s">
        <v>478</v>
      </c>
      <c r="B109" s="37"/>
      <c r="C109" s="37"/>
      <c r="E109" s="37" t="s">
        <v>479</v>
      </c>
      <c r="F109" s="37"/>
      <c r="G109" s="37"/>
      <c r="I109" s="30" t="s">
        <v>244</v>
      </c>
      <c r="J109" s="30"/>
      <c r="K109" s="30"/>
      <c r="M109" s="33" t="s">
        <v>307</v>
      </c>
      <c r="N109" s="34"/>
      <c r="O109" s="36"/>
      <c r="Q109" s="27" t="s">
        <v>480</v>
      </c>
      <c r="R109" s="29"/>
      <c r="S109" s="28"/>
      <c r="U109" s="33" t="s">
        <v>481</v>
      </c>
      <c r="V109" s="34"/>
      <c r="W109" s="28"/>
      <c r="Y109" s="27" t="s">
        <v>482</v>
      </c>
      <c r="Z109" s="29"/>
      <c r="AA109" s="28"/>
      <c r="AC109" s="27" t="s">
        <v>483</v>
      </c>
      <c r="AD109" s="29"/>
      <c r="AE109" s="28"/>
    </row>
    <row r="110" spans="1:53">
      <c r="A110" s="37" t="s">
        <v>165</v>
      </c>
      <c r="B110" s="33"/>
      <c r="C110" s="19">
        <f>C19*(C17*AZ70 + C18*AZ73)</f>
        <v>333.20850839732168</v>
      </c>
      <c r="E110" s="30" t="s">
        <v>484</v>
      </c>
      <c r="F110" s="27"/>
      <c r="G110" s="18">
        <f>C19*(C17*C105 + C18*C110)</f>
        <v>275.23729004395085</v>
      </c>
      <c r="I110" s="30" t="s">
        <v>485</v>
      </c>
      <c r="J110" s="30"/>
      <c r="K110" s="18">
        <f>C19*(C17*G100 + C18*G105)</f>
        <v>95.66796661213013</v>
      </c>
      <c r="M110" s="30" t="s">
        <v>310</v>
      </c>
      <c r="N110" s="27"/>
      <c r="O110" s="18">
        <f>C19*(C17*K100 + C18*K105)</f>
        <v>-94.159863144274567</v>
      </c>
      <c r="Q110" s="27" t="s">
        <v>310</v>
      </c>
      <c r="R110" s="28"/>
      <c r="S110" s="18">
        <f>C19*(C17*O100 + C18*O105)</f>
        <v>-294.83409654105526</v>
      </c>
      <c r="U110" s="30" t="s">
        <v>310</v>
      </c>
      <c r="V110" s="30"/>
      <c r="W110" s="25">
        <f>C19*(C17*S100 + C18*S105)</f>
        <v>-506.97632197063655</v>
      </c>
      <c r="Y110" s="27" t="s">
        <v>310</v>
      </c>
      <c r="Z110" s="28"/>
      <c r="AA110" s="18">
        <f>C19*(C17*W100 + C18*W105)</f>
        <v>-731.24374966216476</v>
      </c>
      <c r="AC110" s="27" t="s">
        <v>310</v>
      </c>
      <c r="AD110" s="28"/>
      <c r="AE110" s="18">
        <f>C19*(C17*AA100 + C18*AA105)</f>
        <v>-968.33125308913247</v>
      </c>
    </row>
    <row r="111" spans="1:53">
      <c r="A111" s="37" t="s">
        <v>166</v>
      </c>
      <c r="B111" s="33"/>
      <c r="C111" s="19">
        <f xml:space="preserve"> IF(G3 = "call",MAX(AW70 - C4),MAX(C4 - AW70))</f>
        <v>333.65476689920342</v>
      </c>
      <c r="E111" s="38" t="s">
        <v>486</v>
      </c>
      <c r="F111" s="39"/>
      <c r="G111" s="18">
        <f xml:space="preserve"> IF(G3 = "call",MAX(AU67 - C4),MAX(C4 - AU67))</f>
        <v>276.12542812626725</v>
      </c>
      <c r="I111" s="30" t="s">
        <v>487</v>
      </c>
      <c r="J111" s="30"/>
      <c r="K111" s="18">
        <f xml:space="preserve"> IF(G3 = "call",MAX(AS61 - C4),MAX(C4 - AS61))</f>
        <v>96.979999999997744</v>
      </c>
      <c r="M111" s="30" t="s">
        <v>313</v>
      </c>
      <c r="N111" s="27"/>
      <c r="O111" s="18">
        <f xml:space="preserve"> IF(G3 = "call",MAX(AQ55 - C4),MAX(C4 - AQ55))</f>
        <v>-92.438915002953308</v>
      </c>
      <c r="Q111" s="27" t="s">
        <v>313</v>
      </c>
      <c r="R111" s="28"/>
      <c r="S111" s="18">
        <f xml:space="preserve"> IF(G3 = "call",MAX(AO49 - C4),MAX(C4 - AO49))</f>
        <v>-292.72047248487752</v>
      </c>
      <c r="U111" s="31" t="s">
        <v>313</v>
      </c>
      <c r="V111" s="32"/>
      <c r="W111" s="18">
        <f xml:space="preserve"> IF(G3 = "call",MAX(AM43 - C4),MAX(C4 - AM43))</f>
        <v>-504.48761446623712</v>
      </c>
      <c r="Y111" s="27" t="s">
        <v>313</v>
      </c>
      <c r="Z111" s="28"/>
      <c r="AA111" s="18">
        <f xml:space="preserve"> IF(G3 = "call",MAX(AK37 - C4),MAX(C4 - AK37))</f>
        <v>-728.39900694180687</v>
      </c>
      <c r="AC111" s="27" t="s">
        <v>313</v>
      </c>
      <c r="AD111" s="28"/>
      <c r="AE111" s="18">
        <f xml:space="preserve"> IF(G3 = "call",MAX(AI31 - C4),MAX(C4 - AI31))</f>
        <v>-965.15108855020662</v>
      </c>
    </row>
    <row r="112" spans="1:53">
      <c r="A112" s="30" t="s">
        <v>167</v>
      </c>
      <c r="B112" s="27"/>
      <c r="C112" s="18">
        <f>MAX(C110,C111)</f>
        <v>333.65476689920342</v>
      </c>
      <c r="E112" s="30" t="s">
        <v>488</v>
      </c>
      <c r="F112" s="27"/>
      <c r="G112" s="18">
        <f>MAX(G110,G111)</f>
        <v>276.12542812626725</v>
      </c>
      <c r="I112" s="30" t="s">
        <v>489</v>
      </c>
      <c r="J112" s="30"/>
      <c r="K112" s="18">
        <f>MAX(K110,K111)</f>
        <v>96.979999999997744</v>
      </c>
      <c r="M112" s="30" t="s">
        <v>490</v>
      </c>
      <c r="N112" s="27"/>
      <c r="O112" s="18">
        <f>MAX(O110,O111)</f>
        <v>-92.438915002953308</v>
      </c>
      <c r="Q112" s="27" t="s">
        <v>491</v>
      </c>
      <c r="R112" s="28"/>
      <c r="S112" s="18">
        <f>MAX(S110,S111)</f>
        <v>-292.72047248487752</v>
      </c>
      <c r="U112" s="27" t="s">
        <v>492</v>
      </c>
      <c r="V112" s="28"/>
      <c r="W112" s="18">
        <f>MAX(W110,W111)</f>
        <v>-504.48761446623712</v>
      </c>
      <c r="Y112" s="27" t="s">
        <v>493</v>
      </c>
      <c r="Z112" s="28"/>
      <c r="AA112" s="18">
        <f>MAX(AA110,AA111)</f>
        <v>-728.39900694180687</v>
      </c>
      <c r="AC112" s="27" t="s">
        <v>494</v>
      </c>
      <c r="AD112" s="28"/>
      <c r="AE112" s="18">
        <f>MAX(AE110,AE111)</f>
        <v>-965.15108855020662</v>
      </c>
      <c r="AG112" s="27" t="s">
        <v>495</v>
      </c>
      <c r="AH112" s="28"/>
    </row>
    <row r="114" spans="1:39">
      <c r="A114" s="37" t="s">
        <v>496</v>
      </c>
      <c r="B114" s="37"/>
      <c r="C114" s="37"/>
      <c r="E114" s="37" t="s">
        <v>497</v>
      </c>
      <c r="F114" s="37"/>
      <c r="G114" s="37"/>
      <c r="I114" s="30" t="s">
        <v>244</v>
      </c>
      <c r="J114" s="30"/>
      <c r="K114" s="30"/>
      <c r="M114" s="33" t="s">
        <v>307</v>
      </c>
      <c r="N114" s="34"/>
      <c r="O114" s="36"/>
      <c r="Q114" s="27" t="s">
        <v>498</v>
      </c>
      <c r="R114" s="29"/>
      <c r="S114" s="28"/>
      <c r="U114" s="33" t="s">
        <v>499</v>
      </c>
      <c r="V114" s="34"/>
      <c r="W114" s="28"/>
      <c r="Y114" s="27" t="s">
        <v>500</v>
      </c>
      <c r="Z114" s="29"/>
      <c r="AA114" s="28"/>
      <c r="AC114" s="27" t="s">
        <v>501</v>
      </c>
      <c r="AD114" s="29"/>
      <c r="AE114" s="28"/>
      <c r="AG114" s="27" t="s">
        <v>502</v>
      </c>
      <c r="AH114" s="29"/>
      <c r="AI114" s="28"/>
    </row>
    <row r="115" spans="1:39">
      <c r="A115" s="37" t="s">
        <v>165</v>
      </c>
      <c r="B115" s="33"/>
      <c r="C115" s="19">
        <f>C19*(C17*AZ73 + C18*AZ76)</f>
        <v>445.10413950017511</v>
      </c>
      <c r="E115" s="30" t="s">
        <v>503</v>
      </c>
      <c r="F115" s="27"/>
      <c r="G115" s="18">
        <f>C19*(C17*C110 + C18*C115)</f>
        <v>389.22800361582756</v>
      </c>
      <c r="I115" s="30" t="s">
        <v>504</v>
      </c>
      <c r="J115" s="30"/>
      <c r="K115" s="18">
        <f>C19*(C17*G105 + C18*G110)</f>
        <v>216.1912324903731</v>
      </c>
      <c r="M115" s="30" t="s">
        <v>310</v>
      </c>
      <c r="N115" s="27"/>
      <c r="O115" s="18">
        <f>C19*(C17*K105 + C18*K110)</f>
        <v>33.27032097154278</v>
      </c>
      <c r="Q115" s="27" t="s">
        <v>310</v>
      </c>
      <c r="R115" s="28"/>
      <c r="S115" s="18">
        <f>C19*(C17*O105 + C18*O110)</f>
        <v>-160.10117418400756</v>
      </c>
      <c r="U115" s="30" t="s">
        <v>310</v>
      </c>
      <c r="V115" s="30"/>
      <c r="W115" s="25">
        <f>C19*(C17*S105 + C18*S110)</f>
        <v>-364.52215781144804</v>
      </c>
      <c r="Y115" s="27" t="s">
        <v>310</v>
      </c>
      <c r="Z115" s="28"/>
      <c r="AA115" s="18">
        <f>C19*(C17*W105 + C18*W110)</f>
        <v>-580.62585663884568</v>
      </c>
      <c r="AC115" s="27" t="s">
        <v>310</v>
      </c>
      <c r="AD115" s="28"/>
      <c r="AE115" s="18">
        <f>C19*(C17*AA105 + C18*AA110)</f>
        <v>-809.08178619792022</v>
      </c>
      <c r="AG115" s="27" t="s">
        <v>310</v>
      </c>
      <c r="AH115" s="28"/>
      <c r="AI115" s="18">
        <f>C19*(C17*AE105 + C18*AE110)</f>
        <v>-1050.5978304540486</v>
      </c>
    </row>
    <row r="116" spans="1:39">
      <c r="A116" s="37" t="s">
        <v>166</v>
      </c>
      <c r="B116" s="33"/>
      <c r="C116" s="19">
        <f xml:space="preserve"> IF(G3 = "call",MAX(AW73- C4),MAX(C4 - AW73))</f>
        <v>445.55457102915261</v>
      </c>
      <c r="E116" s="38" t="s">
        <v>505</v>
      </c>
      <c r="F116" s="39"/>
      <c r="G116" s="18">
        <f xml:space="preserve"> IF(G3 = "call",MAX(AU70 - C4),MAX(C4 - AU70))</f>
        <v>390.12464417856791</v>
      </c>
      <c r="I116" s="30" t="s">
        <v>506</v>
      </c>
      <c r="J116" s="30"/>
      <c r="K116" s="18">
        <f xml:space="preserve"> IF(G3 = "call",MAX(AS64 - C4),MAX(C4 - AS64))</f>
        <v>217.51675073746856</v>
      </c>
      <c r="M116" s="30" t="s">
        <v>313</v>
      </c>
      <c r="N116" s="27"/>
      <c r="O116" s="18">
        <f xml:space="preserve"> IF(G3 = "call",MAX(AQ58 - C4),MAX(C4 - AQ58))</f>
        <v>35.010279662399626</v>
      </c>
      <c r="Q116" s="27" t="s">
        <v>313</v>
      </c>
      <c r="R116" s="28"/>
      <c r="S116" s="18">
        <f xml:space="preserve"> IF(G3 = "call",MAX(AO52 - C4),MAX(C4 - AO52))</f>
        <v>-157.96242465741489</v>
      </c>
      <c r="U116" s="31" t="s">
        <v>313</v>
      </c>
      <c r="V116" s="32"/>
      <c r="W116" s="18">
        <f xml:space="preserve"> IF(G3 = "call",MAX(AM46 - C4),MAX(C4 - AM46))</f>
        <v>-362.00157128682577</v>
      </c>
      <c r="Y116" s="27" t="s">
        <v>313</v>
      </c>
      <c r="Z116" s="28"/>
      <c r="AA116" s="18">
        <f xml:space="preserve"> IF(G3 = "call",MAX(AK40 - C4),MAX(C4 - AK40))</f>
        <v>-577.74178959387382</v>
      </c>
      <c r="AC116" s="27" t="s">
        <v>313</v>
      </c>
      <c r="AD116" s="28"/>
      <c r="AE116" s="18">
        <f xml:space="preserve"> IF(G3 = "call",MAX(AI34 - C4),MAX(C4 - AI34))</f>
        <v>-805.8541031574523</v>
      </c>
      <c r="AG116" s="27" t="s">
        <v>313</v>
      </c>
      <c r="AH116" s="28"/>
      <c r="AI116" s="18">
        <f xml:space="preserve"> IF(G3 = "call",MAX(AG28 - C4),MAX(C4 - AG28))</f>
        <v>-1047.0480168730201</v>
      </c>
    </row>
    <row r="117" spans="1:39">
      <c r="A117" s="30" t="s">
        <v>167</v>
      </c>
      <c r="B117" s="27"/>
      <c r="C117" s="18">
        <f>MAX(C115,C116)</f>
        <v>445.55457102915261</v>
      </c>
      <c r="E117" s="30" t="s">
        <v>507</v>
      </c>
      <c r="F117" s="27"/>
      <c r="G117" s="18">
        <f>MAX(G115,G116)</f>
        <v>390.12464417856791</v>
      </c>
      <c r="I117" s="30" t="s">
        <v>508</v>
      </c>
      <c r="J117" s="30"/>
      <c r="K117" s="18">
        <f>MAX(K115,K116)</f>
        <v>217.51675073746856</v>
      </c>
      <c r="M117" s="30" t="s">
        <v>509</v>
      </c>
      <c r="N117" s="27"/>
      <c r="O117" s="18">
        <f>MAX(O115,O116)</f>
        <v>35.010279662399626</v>
      </c>
      <c r="Q117" s="27" t="s">
        <v>510</v>
      </c>
      <c r="R117" s="28"/>
      <c r="S117" s="18">
        <f>MAX(S115,S116)</f>
        <v>-157.96242465741489</v>
      </c>
      <c r="U117" s="27" t="s">
        <v>511</v>
      </c>
      <c r="V117" s="28"/>
      <c r="W117" s="18">
        <f>MAX(W115,W116)</f>
        <v>-362.00157128682577</v>
      </c>
      <c r="Y117" s="27" t="s">
        <v>512</v>
      </c>
      <c r="Z117" s="28"/>
      <c r="AA117" s="18">
        <f>MAX(AA115,AA116)</f>
        <v>-577.74178959387382</v>
      </c>
      <c r="AC117" s="27" t="s">
        <v>513</v>
      </c>
      <c r="AD117" s="28"/>
      <c r="AE117" s="18">
        <f>MAX(AE115,AE116)</f>
        <v>-805.8541031574523</v>
      </c>
      <c r="AG117" s="27" t="s">
        <v>514</v>
      </c>
      <c r="AH117" s="28"/>
      <c r="AI117" s="18">
        <f>MAX(AI115,AI116)</f>
        <v>-1047.0480168730201</v>
      </c>
    </row>
    <row r="119" spans="1:39">
      <c r="A119" s="37" t="s">
        <v>515</v>
      </c>
      <c r="B119" s="37"/>
      <c r="C119" s="37"/>
      <c r="E119" s="37" t="s">
        <v>516</v>
      </c>
      <c r="F119" s="37"/>
      <c r="G119" s="37"/>
      <c r="I119" s="30" t="s">
        <v>244</v>
      </c>
      <c r="J119" s="30"/>
      <c r="K119" s="30"/>
      <c r="M119" s="33" t="s">
        <v>307</v>
      </c>
      <c r="N119" s="34"/>
      <c r="O119" s="36"/>
      <c r="Q119" s="27" t="s">
        <v>517</v>
      </c>
      <c r="R119" s="29"/>
      <c r="S119" s="28"/>
      <c r="U119" s="33" t="s">
        <v>518</v>
      </c>
      <c r="V119" s="34"/>
      <c r="W119" s="28"/>
      <c r="Y119" s="27" t="s">
        <v>519</v>
      </c>
      <c r="Z119" s="29"/>
      <c r="AA119" s="28"/>
      <c r="AC119" s="27" t="s">
        <v>520</v>
      </c>
      <c r="AD119" s="29"/>
      <c r="AE119" s="28"/>
      <c r="AG119" s="27" t="s">
        <v>521</v>
      </c>
      <c r="AH119" s="29"/>
      <c r="AI119" s="28"/>
    </row>
    <row r="120" spans="1:39">
      <c r="A120" s="37" t="s">
        <v>165</v>
      </c>
      <c r="B120" s="33"/>
      <c r="C120" s="19">
        <f>C19*(C17*AZ76 + C18*AZ79)</f>
        <v>552.9163754692247</v>
      </c>
      <c r="E120" s="30" t="s">
        <v>522</v>
      </c>
      <c r="F120" s="27"/>
      <c r="G120" s="18">
        <f>C19*(C17*C115 + C18*C120)</f>
        <v>499.05886643651303</v>
      </c>
      <c r="I120" s="30" t="s">
        <v>523</v>
      </c>
      <c r="J120" s="30"/>
      <c r="K120" s="18">
        <f>C19*(C17*G110 + C18*G115)</f>
        <v>332.31625589438596</v>
      </c>
      <c r="M120" s="30" t="s">
        <v>310</v>
      </c>
      <c r="N120" s="27"/>
      <c r="O120" s="18">
        <f>C19*(C17*K110 + C18*K115)</f>
        <v>156.05020919475331</v>
      </c>
      <c r="Q120" s="27" t="s">
        <v>310</v>
      </c>
      <c r="R120" s="28"/>
      <c r="S120" s="18">
        <f>C19*(C17*O110 + C18*O115)</f>
        <v>-30.285045754420985</v>
      </c>
      <c r="U120" s="30" t="s">
        <v>310</v>
      </c>
      <c r="V120" s="30"/>
      <c r="W120" s="25">
        <f>C19*(C17*S110 + C18*S115)</f>
        <v>-227.26655801964793</v>
      </c>
      <c r="Y120" s="27" t="s">
        <v>310</v>
      </c>
      <c r="Z120" s="28"/>
      <c r="AA120" s="18">
        <f>C19*(C17*W110 + C18*W115)</f>
        <v>-435.50444605521949</v>
      </c>
      <c r="AC120" s="27" t="s">
        <v>310</v>
      </c>
      <c r="AD120" s="28"/>
      <c r="AE120" s="18">
        <f>C19*(C17*AA110 + C18*AA115)</f>
        <v>-655.64379283570304</v>
      </c>
      <c r="AG120" s="27" t="s">
        <v>310</v>
      </c>
      <c r="AH120" s="28"/>
      <c r="AI120" s="18">
        <f>C19*(C17*AE110 + C18*AE115)</f>
        <v>-888.36664959423274</v>
      </c>
    </row>
    <row r="121" spans="1:39">
      <c r="A121" s="37" t="s">
        <v>166</v>
      </c>
      <c r="B121" s="33"/>
      <c r="C121" s="19">
        <f xml:space="preserve"> IF(G3 = "call",MAX(AW76- C4),MAX(C4 - AW76))</f>
        <v>553.37082773947168</v>
      </c>
      <c r="E121" s="38" t="s">
        <v>524</v>
      </c>
      <c r="F121" s="39"/>
      <c r="G121" s="18">
        <f xml:space="preserve"> IF(G3 = "call",MAX(AU73 - C4),MAX(C4 - AU73))</f>
        <v>499.96369919957988</v>
      </c>
      <c r="I121" s="30" t="s">
        <v>525</v>
      </c>
      <c r="J121" s="30"/>
      <c r="K121" s="18">
        <f xml:space="preserve"> IF(G3 = "call",MAX(AS67 - C4),MAX(C4 - AS67))</f>
        <v>333.65476689920433</v>
      </c>
      <c r="M121" s="30" t="s">
        <v>313</v>
      </c>
      <c r="N121" s="27"/>
      <c r="O121" s="18">
        <f xml:space="preserve"> IF(G3 = "call",MAX(AQ61 - C4),MAX(C4 - AQ61))</f>
        <v>157.80848468522254</v>
      </c>
      <c r="Q121" s="27" t="s">
        <v>313</v>
      </c>
      <c r="R121" s="28"/>
      <c r="S121" s="18">
        <f xml:space="preserve"> IF(G3 = "call",MAX(AO55 - C4),MAX(C4 - AO55))</f>
        <v>-28.122087658480723</v>
      </c>
      <c r="U121" s="31" t="s">
        <v>313</v>
      </c>
      <c r="V121" s="32"/>
      <c r="W121" s="18">
        <f xml:space="preserve"> IF(G3 = "call",MAX(AM49 - C4),MAX(C4 - AM49))</f>
        <v>-224.71525583243101</v>
      </c>
      <c r="Y121" s="27" t="s">
        <v>313</v>
      </c>
      <c r="Z121" s="28"/>
      <c r="AA121" s="18">
        <f xml:space="preserve"> IF(G3 = "call",MAX(AK43 - C4),MAX(C4 - AK43))</f>
        <v>-432.58248974395019</v>
      </c>
      <c r="AC121" s="27" t="s">
        <v>313</v>
      </c>
      <c r="AD121" s="28"/>
      <c r="AE121" s="18">
        <f>IF(G3 = "call",MAX(AI37 - C4),MAX(C4 - AI37))</f>
        <v>-652.3703253812173</v>
      </c>
      <c r="AG121" s="27" t="s">
        <v>313</v>
      </c>
      <c r="AH121" s="28"/>
      <c r="AI121" s="18">
        <f xml:space="preserve"> IF(G3 = "call",MAX(AG31 - C4),MAX(C4 - AG31))</f>
        <v>-884.76237575447158</v>
      </c>
    </row>
    <row r="122" spans="1:39">
      <c r="A122" s="30" t="s">
        <v>167</v>
      </c>
      <c r="B122" s="27"/>
      <c r="C122" s="18">
        <f>MAX(C120,C121)</f>
        <v>553.37082773947168</v>
      </c>
      <c r="E122" s="30" t="s">
        <v>526</v>
      </c>
      <c r="F122" s="27"/>
      <c r="G122" s="18">
        <f>MAX(G120,G121)</f>
        <v>499.96369919957988</v>
      </c>
      <c r="I122" s="30" t="s">
        <v>527</v>
      </c>
      <c r="J122" s="30"/>
      <c r="K122" s="18">
        <f>MAX(K120,K121)</f>
        <v>333.65476689920433</v>
      </c>
      <c r="M122" s="30" t="s">
        <v>528</v>
      </c>
      <c r="N122" s="27"/>
      <c r="O122" s="18">
        <f>MAX(O120,O121)</f>
        <v>157.80848468522254</v>
      </c>
      <c r="Q122" s="27" t="s">
        <v>529</v>
      </c>
      <c r="R122" s="28"/>
      <c r="S122" s="18">
        <f>MAX(S120,S121)</f>
        <v>-28.122087658480723</v>
      </c>
      <c r="U122" s="27" t="s">
        <v>530</v>
      </c>
      <c r="V122" s="28"/>
      <c r="W122" s="18">
        <f>MAX(W120,W121)</f>
        <v>-224.71525583243101</v>
      </c>
      <c r="Y122" s="27" t="s">
        <v>531</v>
      </c>
      <c r="Z122" s="28"/>
      <c r="AA122" s="18">
        <f>MAX(AA120,AA121)</f>
        <v>-432.58248974395019</v>
      </c>
      <c r="AC122" s="27" t="s">
        <v>532</v>
      </c>
      <c r="AD122" s="28"/>
      <c r="AE122" s="18">
        <f>MAX(AE120,AE121)</f>
        <v>-652.3703253812173</v>
      </c>
      <c r="AG122" s="27" t="s">
        <v>533</v>
      </c>
      <c r="AH122" s="28"/>
      <c r="AI122" s="18">
        <f>MAX(AI120,AI121)</f>
        <v>-884.76237575447158</v>
      </c>
      <c r="AK122" s="30" t="s">
        <v>534</v>
      </c>
      <c r="AL122" s="30"/>
    </row>
    <row r="124" spans="1:39">
      <c r="A124" s="37" t="s">
        <v>535</v>
      </c>
      <c r="B124" s="37"/>
      <c r="C124" s="37"/>
      <c r="E124" s="37" t="s">
        <v>536</v>
      </c>
      <c r="F124" s="37"/>
      <c r="G124" s="37"/>
      <c r="I124" s="30" t="s">
        <v>244</v>
      </c>
      <c r="J124" s="30"/>
      <c r="K124" s="30"/>
      <c r="M124" s="33" t="s">
        <v>307</v>
      </c>
      <c r="N124" s="34"/>
      <c r="O124" s="36"/>
      <c r="Q124" s="27" t="s">
        <v>537</v>
      </c>
      <c r="R124" s="29"/>
      <c r="S124" s="28"/>
      <c r="U124" s="33" t="s">
        <v>538</v>
      </c>
      <c r="V124" s="34"/>
      <c r="W124" s="28"/>
      <c r="Y124" s="27" t="s">
        <v>539</v>
      </c>
      <c r="Z124" s="29"/>
      <c r="AA124" s="28"/>
      <c r="AC124" s="27" t="s">
        <v>540</v>
      </c>
      <c r="AD124" s="29"/>
      <c r="AE124" s="28"/>
      <c r="AG124" s="27" t="s">
        <v>521</v>
      </c>
      <c r="AH124" s="29"/>
      <c r="AI124" s="28"/>
      <c r="AK124" s="27" t="s">
        <v>541</v>
      </c>
      <c r="AL124" s="29"/>
      <c r="AM124" s="28"/>
    </row>
    <row r="125" spans="1:39">
      <c r="A125" s="37" t="s">
        <v>165</v>
      </c>
      <c r="B125" s="33"/>
      <c r="C125" s="19">
        <f>C19*(C17*AZ79+ C18*AZ82)</f>
        <v>656.79423120035551</v>
      </c>
      <c r="E125" s="30" t="s">
        <v>542</v>
      </c>
      <c r="F125" s="27"/>
      <c r="G125" s="18">
        <f>C19*(C17*C120 + C18*C125)</f>
        <v>604.88168348844806</v>
      </c>
      <c r="I125" s="30" t="s">
        <v>543</v>
      </c>
      <c r="J125" s="30"/>
      <c r="K125" s="18">
        <f>C19*(C17*G115 + C18*G120)</f>
        <v>444.20354140991122</v>
      </c>
      <c r="M125" s="30" t="s">
        <v>310</v>
      </c>
      <c r="N125" s="27"/>
      <c r="O125" s="18">
        <f>C19*(C17*K115 + C18*K120)</f>
        <v>274.34950426916799</v>
      </c>
      <c r="Q125" s="27" t="s">
        <v>310</v>
      </c>
      <c r="R125" s="28"/>
      <c r="S125" s="18">
        <f>C19*(C17*O115 + C18*O120)</f>
        <v>94.793716775406978</v>
      </c>
      <c r="U125" s="30" t="s">
        <v>310</v>
      </c>
      <c r="V125" s="30"/>
      <c r="W125" s="25">
        <f>C19*(C17*S115 + C18*S120)</f>
        <v>-95.019811949419818</v>
      </c>
      <c r="Y125" s="27" t="s">
        <v>310</v>
      </c>
      <c r="Z125" s="28"/>
      <c r="AA125" s="18">
        <f>C19*(C17*W115 + C18*W120)</f>
        <v>-295.67893537355837</v>
      </c>
      <c r="AC125" s="27" t="s">
        <v>310</v>
      </c>
      <c r="AD125" s="28"/>
      <c r="AE125" s="18">
        <f>C19*(C17*AA115 + C18*AA120)</f>
        <v>-507.80519552908299</v>
      </c>
      <c r="AG125" s="27" t="s">
        <v>310</v>
      </c>
      <c r="AH125" s="28"/>
      <c r="AI125" s="18">
        <f>C19*(C17*AE115 + C18*AE120)</f>
        <v>-732.05575362798254</v>
      </c>
      <c r="AK125" s="27" t="s">
        <v>310</v>
      </c>
      <c r="AL125" s="28"/>
      <c r="AM125" s="18">
        <f>C19*(C17*AI115 + C18*AI120)</f>
        <v>-969.12543131752864</v>
      </c>
    </row>
    <row r="126" spans="1:39">
      <c r="A126" s="37" t="s">
        <v>166</v>
      </c>
      <c r="B126" s="33"/>
      <c r="C126" s="19">
        <f xml:space="preserve"> IF(G3 = "call",MAX(AW79- C4),MAX(C4 - AW79))</f>
        <v>657.25255748339714</v>
      </c>
      <c r="E126" s="38" t="s">
        <v>544</v>
      </c>
      <c r="F126" s="39"/>
      <c r="G126" s="18">
        <f xml:space="preserve"> IF(G3 = "call",MAX(AU76 - C4),MAX(C4 - AU76))</f>
        <v>605.79440949476339</v>
      </c>
      <c r="I126" s="30" t="s">
        <v>545</v>
      </c>
      <c r="J126" s="30"/>
      <c r="K126" s="18">
        <f xml:space="preserve"> IF(G3 = "call",MAX(AS70 - C4),MAX(C4 - AS70))</f>
        <v>445.55457102915261</v>
      </c>
      <c r="M126" s="30" t="s">
        <v>546</v>
      </c>
      <c r="N126" s="27"/>
      <c r="O126" s="18">
        <f xml:space="preserve"> IF(G3 = "call",MAX(AQ64 - C4),MAX(C4 - AQ64))</f>
        <v>276.12542812626816</v>
      </c>
      <c r="Q126" s="27" t="s">
        <v>313</v>
      </c>
      <c r="R126" s="28"/>
      <c r="S126" s="18">
        <f xml:space="preserve"> IF(G3 = "call",MAX(AO58 - C4),MAX(C4 - AO58))</f>
        <v>96.979999999998199</v>
      </c>
      <c r="U126" s="31" t="s">
        <v>313</v>
      </c>
      <c r="V126" s="32"/>
      <c r="W126" s="18">
        <f xml:space="preserve"> IF(G3 = "call",MAX(AM52 - C4),MAX(C4 - AM52))</f>
        <v>-92.438915002953308</v>
      </c>
      <c r="Y126" s="27" t="s">
        <v>313</v>
      </c>
      <c r="Z126" s="28"/>
      <c r="AA126" s="18">
        <f xml:space="preserve"> IF(G3 = "call",MAX(AK46 - C4),MAX(C4 - AK46))</f>
        <v>-292.72047248487706</v>
      </c>
      <c r="AC126" s="27" t="s">
        <v>313</v>
      </c>
      <c r="AD126" s="28"/>
      <c r="AE126" s="18">
        <f>IF(G3 = "call",MAX(AI40 - C4),MAX(C4 - AI40))</f>
        <v>-504.48761446623666</v>
      </c>
      <c r="AG126" s="27" t="s">
        <v>313</v>
      </c>
      <c r="AH126" s="28"/>
      <c r="AI126" s="18">
        <f xml:space="preserve"> IF(G3 = "call",MAX(AG34 - C4),MAX(C4 - AG34))</f>
        <v>-728.39900694180596</v>
      </c>
      <c r="AK126" s="27" t="s">
        <v>313</v>
      </c>
      <c r="AL126" s="28"/>
      <c r="AM126" s="18">
        <f xml:space="preserve"> IF(G3 = "call",MAX(AE28 - C4),MAX(C4 - AE28))</f>
        <v>-965.15108855020662</v>
      </c>
    </row>
    <row r="127" spans="1:39">
      <c r="A127" s="30" t="s">
        <v>167</v>
      </c>
      <c r="B127" s="27"/>
      <c r="C127" s="18">
        <f>MAX(C125,C126)</f>
        <v>657.25255748339714</v>
      </c>
      <c r="E127" s="30" t="s">
        <v>547</v>
      </c>
      <c r="F127" s="27"/>
      <c r="G127" s="18">
        <f>MAX(G125,G126)</f>
        <v>605.79440949476339</v>
      </c>
      <c r="I127" s="30" t="s">
        <v>548</v>
      </c>
      <c r="J127" s="30"/>
      <c r="K127" s="18">
        <f>MAX(K125,K126)</f>
        <v>445.55457102915261</v>
      </c>
      <c r="M127" s="30" t="s">
        <v>549</v>
      </c>
      <c r="N127" s="27"/>
      <c r="O127" s="18">
        <f>MAX(O125,O126)</f>
        <v>276.12542812626816</v>
      </c>
      <c r="Q127" s="27" t="s">
        <v>550</v>
      </c>
      <c r="R127" s="28"/>
      <c r="S127" s="18">
        <f>MAX(S125,S126)</f>
        <v>96.979999999998199</v>
      </c>
      <c r="U127" s="27" t="s">
        <v>551</v>
      </c>
      <c r="V127" s="28"/>
      <c r="W127" s="18">
        <f>MAX(W125,W126)</f>
        <v>-92.438915002953308</v>
      </c>
      <c r="Y127" s="27" t="s">
        <v>552</v>
      </c>
      <c r="Z127" s="28"/>
      <c r="AA127" s="18">
        <f>MAX(AA125,AA126)</f>
        <v>-292.72047248487706</v>
      </c>
      <c r="AC127" s="27" t="s">
        <v>553</v>
      </c>
      <c r="AD127" s="28"/>
      <c r="AE127" s="18">
        <f>MAX(AE125,AE126)</f>
        <v>-504.48761446623666</v>
      </c>
      <c r="AG127" s="27" t="s">
        <v>533</v>
      </c>
      <c r="AH127" s="28"/>
      <c r="AI127" s="18">
        <f>MAX(AI125,AI126)</f>
        <v>-728.39900694180596</v>
      </c>
      <c r="AK127" s="27" t="s">
        <v>554</v>
      </c>
      <c r="AL127" s="28"/>
      <c r="AM127" s="18">
        <f>MAX(AM125,AM126)</f>
        <v>-965.15108855020662</v>
      </c>
    </row>
    <row r="129" spans="1:47">
      <c r="A129" s="37" t="s">
        <v>555</v>
      </c>
      <c r="B129" s="37"/>
      <c r="C129" s="37"/>
      <c r="E129" s="37" t="s">
        <v>556</v>
      </c>
      <c r="F129" s="37"/>
      <c r="G129" s="37"/>
      <c r="I129" s="30" t="s">
        <v>244</v>
      </c>
      <c r="J129" s="30"/>
      <c r="K129" s="30"/>
      <c r="M129" s="33" t="s">
        <v>307</v>
      </c>
      <c r="N129" s="34"/>
      <c r="O129" s="36"/>
      <c r="Q129" s="27" t="s">
        <v>557</v>
      </c>
      <c r="R129" s="29"/>
      <c r="S129" s="28"/>
      <c r="U129" s="33" t="s">
        <v>558</v>
      </c>
      <c r="V129" s="34"/>
      <c r="W129" s="28"/>
      <c r="Y129" s="27" t="s">
        <v>559</v>
      </c>
      <c r="Z129" s="29"/>
      <c r="AA129" s="28"/>
      <c r="AC129" s="27" t="s">
        <v>560</v>
      </c>
      <c r="AD129" s="29"/>
      <c r="AE129" s="28"/>
      <c r="AG129" s="27" t="s">
        <v>521</v>
      </c>
      <c r="AH129" s="29"/>
      <c r="AI129" s="28"/>
      <c r="AK129" s="27" t="s">
        <v>561</v>
      </c>
      <c r="AL129" s="29"/>
      <c r="AM129" s="28"/>
    </row>
    <row r="130" spans="1:47">
      <c r="A130" s="37" t="s">
        <v>165</v>
      </c>
      <c r="B130" s="33"/>
      <c r="C130" s="19">
        <f>C19*(C17*AZ82+ C18*AZ85)</f>
        <v>756.88128360501321</v>
      </c>
      <c r="E130" s="30" t="s">
        <v>562</v>
      </c>
      <c r="F130" s="27"/>
      <c r="G130" s="18">
        <f>C19*(C17*C125 + C18*C130)</f>
        <v>706.84271995130814</v>
      </c>
      <c r="I130" s="30" t="s">
        <v>563</v>
      </c>
      <c r="J130" s="30"/>
      <c r="K130" s="18">
        <f>C19*(C17*G120 + C18*G125)</f>
        <v>552.00773634624625</v>
      </c>
      <c r="M130" s="30" t="s">
        <v>310</v>
      </c>
      <c r="N130" s="27"/>
      <c r="O130" s="18">
        <f>C19*(C17*K120 + C18*K125)</f>
        <v>388.33171599476765</v>
      </c>
      <c r="Q130" s="27" t="s">
        <v>310</v>
      </c>
      <c r="R130" s="28"/>
      <c r="S130" s="18">
        <f>C19*(C17*O120 + C18*O125)</f>
        <v>215.30799358561802</v>
      </c>
      <c r="U130" s="30" t="s">
        <v>310</v>
      </c>
      <c r="V130" s="30"/>
      <c r="W130" s="25">
        <f>C19*(C17*S120 + C18*S125)</f>
        <v>32.400867955024019</v>
      </c>
      <c r="Y130" s="27" t="s">
        <v>310</v>
      </c>
      <c r="Z130" s="28"/>
      <c r="AA130" s="18">
        <f>C19*(C17*W120 + C18*W125)</f>
        <v>-160.95606189293611</v>
      </c>
      <c r="AC130" s="27" t="s">
        <v>310</v>
      </c>
      <c r="AD130" s="28"/>
      <c r="AE130" s="18">
        <f>C19*(C17*AA120 + C18*AA125)</f>
        <v>-365.36165612490532</v>
      </c>
      <c r="AG130" s="27" t="s">
        <v>310</v>
      </c>
      <c r="AH130" s="28"/>
      <c r="AI130" s="18">
        <f>C19*(C17*AE120 + C18*AE125)</f>
        <v>-581.4490942405705</v>
      </c>
      <c r="AK130" s="27" t="s">
        <v>310</v>
      </c>
      <c r="AL130" s="28"/>
      <c r="AM130" s="18">
        <f>C19*(C17*AI120 + C18*AI125)</f>
        <v>-809.8878418367193</v>
      </c>
    </row>
    <row r="131" spans="1:47">
      <c r="A131" s="37" t="s">
        <v>166</v>
      </c>
      <c r="B131" s="33"/>
      <c r="C131" s="19">
        <f xml:space="preserve"> IF(G3 = "call",MAX(AW82- C4),MAX(C4 - AW82))</f>
        <v>757.34334252692088</v>
      </c>
      <c r="E131" s="38" t="s">
        <v>564</v>
      </c>
      <c r="F131" s="39"/>
      <c r="G131" s="18">
        <f xml:space="preserve"> IF(G3 = "call",MAX(AU79 - C4),MAX(C4 - AU79))</f>
        <v>707.76305115360219</v>
      </c>
      <c r="I131" s="30" t="s">
        <v>565</v>
      </c>
      <c r="J131" s="30"/>
      <c r="K131" s="18">
        <f xml:space="preserve"> IF(G3 = "call",MAX(AS73 - C4),MAX(C4 - AS73))</f>
        <v>553.37082773947213</v>
      </c>
      <c r="M131" s="30" t="s">
        <v>313</v>
      </c>
      <c r="N131" s="27"/>
      <c r="O131" s="18">
        <f xml:space="preserve"> IF(G3 = "call",MAX(AQ67 - C4),MAX(C4 - AQ67))</f>
        <v>390.12464417856745</v>
      </c>
      <c r="Q131" s="27" t="s">
        <v>313</v>
      </c>
      <c r="R131" s="28"/>
      <c r="S131" s="18">
        <f xml:space="preserve"> IF(G3 = "call",MAX(AO61 - C4),MAX(C4 - AO61))</f>
        <v>217.51675073746947</v>
      </c>
      <c r="U131" s="31" t="s">
        <v>313</v>
      </c>
      <c r="V131" s="32"/>
      <c r="W131" s="18">
        <f xml:space="preserve"> IF(G3 = "call",MAX(AM55 - C4),MAX(C4 - AM55))</f>
        <v>35.010279662399626</v>
      </c>
      <c r="Y131" s="27" t="s">
        <v>313</v>
      </c>
      <c r="Z131" s="28"/>
      <c r="AA131" s="18">
        <f xml:space="preserve"> IF(G3 = "call",MAX(AK49 - C4),MAX(C4 - AK49))</f>
        <v>-157.96242465741443</v>
      </c>
      <c r="AC131" s="27" t="s">
        <v>313</v>
      </c>
      <c r="AD131" s="28"/>
      <c r="AE131" s="18">
        <f>IF(G3 = "call",MAX(AI43 - C4),MAX(C4 - AI43))</f>
        <v>-362.00157128682577</v>
      </c>
      <c r="AG131" s="27" t="s">
        <v>313</v>
      </c>
      <c r="AH131" s="28"/>
      <c r="AI131" s="18">
        <f xml:space="preserve"> IF(G3 = "call",MAX(AG37 - C4),MAX(C4 - AG37))</f>
        <v>-577.74178959387382</v>
      </c>
      <c r="AK131" s="27" t="s">
        <v>313</v>
      </c>
      <c r="AL131" s="28"/>
      <c r="AM131" s="18">
        <f xml:space="preserve"> IF(G3 = "call",MAX(AE31 - C4),MAX(C4 - AE31))</f>
        <v>-805.85410315745139</v>
      </c>
    </row>
    <row r="132" spans="1:47">
      <c r="A132" s="30" t="s">
        <v>167</v>
      </c>
      <c r="B132" s="27"/>
      <c r="C132" s="18">
        <f>MAX(C130,C131)</f>
        <v>757.34334252692088</v>
      </c>
      <c r="E132" s="30" t="s">
        <v>566</v>
      </c>
      <c r="F132" s="27"/>
      <c r="G132" s="18">
        <f>MAX(G130,G131)</f>
        <v>707.76305115360219</v>
      </c>
      <c r="I132" s="30" t="s">
        <v>567</v>
      </c>
      <c r="J132" s="30"/>
      <c r="K132" s="18">
        <f>MAX(K130,K131)</f>
        <v>553.37082773947213</v>
      </c>
      <c r="M132" s="30" t="s">
        <v>568</v>
      </c>
      <c r="N132" s="27"/>
      <c r="O132" s="18">
        <f>MAX(O130,O131)</f>
        <v>390.12464417856745</v>
      </c>
      <c r="Q132" s="27" t="s">
        <v>569</v>
      </c>
      <c r="R132" s="28"/>
      <c r="S132" s="18">
        <f>MAX(S130,S131)</f>
        <v>217.51675073746947</v>
      </c>
      <c r="U132" s="27" t="s">
        <v>570</v>
      </c>
      <c r="V132" s="28"/>
      <c r="W132" s="18">
        <f>MAX(W130,W131)</f>
        <v>35.010279662399626</v>
      </c>
      <c r="Y132" s="27" t="s">
        <v>571</v>
      </c>
      <c r="Z132" s="28"/>
      <c r="AA132" s="18">
        <f>MAX(AA130,AA131)</f>
        <v>-157.96242465741443</v>
      </c>
      <c r="AC132" s="27" t="s">
        <v>572</v>
      </c>
      <c r="AD132" s="28"/>
      <c r="AE132" s="18">
        <f>MAX(AE130,AE131)</f>
        <v>-362.00157128682577</v>
      </c>
      <c r="AG132" s="27" t="s">
        <v>533</v>
      </c>
      <c r="AH132" s="28"/>
      <c r="AI132" s="18">
        <f>MAX(AI130,AI131)</f>
        <v>-577.74178959387382</v>
      </c>
      <c r="AK132" s="27" t="s">
        <v>573</v>
      </c>
      <c r="AL132" s="28"/>
      <c r="AM132" s="18">
        <f>MAX(AM130,AM131)</f>
        <v>-805.85410315745139</v>
      </c>
      <c r="AO132" s="30" t="s">
        <v>574</v>
      </c>
      <c r="AP132" s="30"/>
    </row>
    <row r="134" spans="1:47">
      <c r="A134" s="37" t="s">
        <v>575</v>
      </c>
      <c r="B134" s="37"/>
      <c r="C134" s="37"/>
      <c r="E134" s="37" t="s">
        <v>576</v>
      </c>
      <c r="F134" s="37"/>
      <c r="G134" s="37"/>
      <c r="I134" s="30" t="s">
        <v>244</v>
      </c>
      <c r="J134" s="30"/>
      <c r="K134" s="30"/>
      <c r="M134" s="33" t="s">
        <v>307</v>
      </c>
      <c r="N134" s="34"/>
      <c r="O134" s="36"/>
      <c r="Q134" s="27" t="s">
        <v>577</v>
      </c>
      <c r="R134" s="29"/>
      <c r="S134" s="28"/>
      <c r="U134" s="33" t="s">
        <v>578</v>
      </c>
      <c r="V134" s="34"/>
      <c r="W134" s="28"/>
      <c r="Y134" s="27" t="s">
        <v>579</v>
      </c>
      <c r="Z134" s="29"/>
      <c r="AA134" s="28"/>
      <c r="AC134" s="27" t="s">
        <v>580</v>
      </c>
      <c r="AD134" s="29"/>
      <c r="AE134" s="28"/>
      <c r="AG134" s="27" t="s">
        <v>521</v>
      </c>
      <c r="AH134" s="29"/>
      <c r="AI134" s="28"/>
      <c r="AK134" s="27" t="s">
        <v>581</v>
      </c>
      <c r="AL134" s="29"/>
      <c r="AM134" s="28"/>
      <c r="AO134" s="30" t="s">
        <v>582</v>
      </c>
      <c r="AP134" s="30"/>
      <c r="AQ134" s="30"/>
    </row>
    <row r="135" spans="1:47">
      <c r="A135" s="37" t="s">
        <v>165</v>
      </c>
      <c r="B135" s="33"/>
      <c r="C135" s="19">
        <f>C19*(C17*AZ85+ C18*AZ88)</f>
        <v>853.31587005798178</v>
      </c>
      <c r="E135" s="30" t="s">
        <v>583</v>
      </c>
      <c r="F135" s="27"/>
      <c r="G135" s="18">
        <f>C19*(C17*C130 + C18*C135)</f>
        <v>805.08290336542541</v>
      </c>
      <c r="I135" s="30" t="s">
        <v>584</v>
      </c>
      <c r="J135" s="30"/>
      <c r="K135" s="18">
        <f>C19*(C17*G125 + C18*G130)</f>
        <v>655.87784448519733</v>
      </c>
      <c r="M135" s="30" t="s">
        <v>310</v>
      </c>
      <c r="N135" s="27"/>
      <c r="O135" s="18">
        <f>C19*(C17*K125 + C18*K130)</f>
        <v>498.15438722613061</v>
      </c>
      <c r="Q135" s="27" t="s">
        <v>310</v>
      </c>
      <c r="R135" s="28"/>
      <c r="S135" s="18">
        <f>C19*(C17*O125 + C18*O130)</f>
        <v>331.42435595868403</v>
      </c>
      <c r="U135" s="30" t="s">
        <v>310</v>
      </c>
      <c r="V135" s="30"/>
      <c r="W135" s="25">
        <f>C19*(C17*S125 + C18*S130)</f>
        <v>155.1715988030162</v>
      </c>
      <c r="Y135" s="27" t="s">
        <v>310</v>
      </c>
      <c r="Z135" s="28"/>
      <c r="AA135" s="18">
        <f>C19*(C17*W125 + C18*W130)</f>
        <v>-31.149615627217148</v>
      </c>
      <c r="AC135" s="27" t="s">
        <v>310</v>
      </c>
      <c r="AD135" s="28"/>
      <c r="AE135" s="18">
        <f>C19*(C17*AA125 + C18*AA130)</f>
        <v>-228.11629336008338</v>
      </c>
      <c r="AG135" s="27" t="s">
        <v>310</v>
      </c>
      <c r="AH135" s="28"/>
      <c r="AI135" s="18">
        <f>C19*(C17*AE125 + C18*AE130)</f>
        <v>-436.33850734499424</v>
      </c>
      <c r="AK135" s="27" t="s">
        <v>310</v>
      </c>
      <c r="AL135" s="28"/>
      <c r="AM135" s="18">
        <f>C19*(C17*AI125 + C18*AI130)</f>
        <v>-656.46129244385486</v>
      </c>
      <c r="AO135" s="27" t="s">
        <v>310</v>
      </c>
      <c r="AP135" s="28"/>
      <c r="AQ135" s="24">
        <f>C19*(C17*AM125 + C18*AM130)</f>
        <v>-889.16664901990828</v>
      </c>
    </row>
    <row r="136" spans="1:47">
      <c r="A136" s="37" t="s">
        <v>166</v>
      </c>
      <c r="B136" s="33"/>
      <c r="C136" s="19">
        <f xml:space="preserve"> IF(G3 = "call",MAX(AW85- C4),MAX(C4 - AW85))</f>
        <v>853.78152540396968</v>
      </c>
      <c r="E136" s="38" t="s">
        <v>585</v>
      </c>
      <c r="F136" s="39"/>
      <c r="G136" s="18">
        <f xml:space="preserve"> IF(G3 = "call",MAX(AU82 - C4),MAX(C4 - AU82))</f>
        <v>806.01056222810621</v>
      </c>
      <c r="I136" s="30" t="s">
        <v>586</v>
      </c>
      <c r="J136" s="30"/>
      <c r="K136" s="18">
        <f xml:space="preserve"> IF(G3 = "call",MAX(AS76 - C4),MAX(C4 - AS76))</f>
        <v>657.2525574833976</v>
      </c>
      <c r="M136" s="30" t="s">
        <v>546</v>
      </c>
      <c r="N136" s="27"/>
      <c r="O136" s="18">
        <f xml:space="preserve"> IF(G3 = "call",MAX(AQ70 - C4),MAX(C4 - AQ70))</f>
        <v>499.96369919957988</v>
      </c>
      <c r="Q136" s="27" t="s">
        <v>313</v>
      </c>
      <c r="R136" s="28"/>
      <c r="S136" s="18">
        <f xml:space="preserve"> IF(G3 = "call",MAX(AO64 - C4),MAX(C4 - AO64))</f>
        <v>333.65476689920433</v>
      </c>
      <c r="U136" s="31" t="s">
        <v>313</v>
      </c>
      <c r="V136" s="32"/>
      <c r="W136" s="18">
        <f xml:space="preserve"> IF(G3 = "call",MAX(AM58 - C4),MAX(C4 - AM58))</f>
        <v>157.80848468522345</v>
      </c>
      <c r="Y136" s="27" t="s">
        <v>313</v>
      </c>
      <c r="Z136" s="28"/>
      <c r="AA136" s="18">
        <f xml:space="preserve"> IF(G3 = "call",MAX(AK52 - C4),MAX(C4 - AK52))</f>
        <v>-28.122087658480723</v>
      </c>
      <c r="AC136" s="27" t="s">
        <v>313</v>
      </c>
      <c r="AD136" s="28"/>
      <c r="AE136" s="18">
        <f>IF(G3 = "call",MAX(AI46 - C4),MAX(C4 - AI46))</f>
        <v>-224.71525583243101</v>
      </c>
      <c r="AG136" s="27" t="s">
        <v>313</v>
      </c>
      <c r="AH136" s="28"/>
      <c r="AI136" s="18">
        <f xml:space="preserve"> IF(G3 = "call",MAX(AG40 - C4),MAX(C4 - AG40))</f>
        <v>-432.58248974394928</v>
      </c>
      <c r="AK136" s="27" t="s">
        <v>313</v>
      </c>
      <c r="AL136" s="28"/>
      <c r="AM136" s="18">
        <f xml:space="preserve"> IF(G3 = "call",MAX(AE34 - C4),MAX(C4 - AE34))</f>
        <v>-652.3703253812173</v>
      </c>
      <c r="AO136" s="27" t="s">
        <v>313</v>
      </c>
      <c r="AP136" s="28"/>
      <c r="AQ136" s="18">
        <f xml:space="preserve"> IF(G3 = "call",MAX(AC28 - C4),MAX(C4 - AC28))</f>
        <v>-884.76237575447158</v>
      </c>
    </row>
    <row r="137" spans="1:47">
      <c r="A137" s="30" t="s">
        <v>167</v>
      </c>
      <c r="B137" s="27"/>
      <c r="C137" s="18">
        <f>MAX(C135,C136)</f>
        <v>853.78152540396968</v>
      </c>
      <c r="E137" s="30" t="s">
        <v>587</v>
      </c>
      <c r="F137" s="27"/>
      <c r="G137" s="18">
        <f>MAX(G135,G136)</f>
        <v>806.01056222810621</v>
      </c>
      <c r="I137" s="30" t="s">
        <v>588</v>
      </c>
      <c r="J137" s="30"/>
      <c r="K137" s="18">
        <f>MAX(K135,K136)</f>
        <v>657.2525574833976</v>
      </c>
      <c r="M137" s="30" t="s">
        <v>589</v>
      </c>
      <c r="N137" s="27"/>
      <c r="O137" s="18">
        <f>MAX(O135,O136)</f>
        <v>499.96369919957988</v>
      </c>
      <c r="Q137" s="27" t="s">
        <v>590</v>
      </c>
      <c r="R137" s="28"/>
      <c r="S137" s="18">
        <f>MAX(S135,S136)</f>
        <v>333.65476689920433</v>
      </c>
      <c r="U137" s="27" t="s">
        <v>591</v>
      </c>
      <c r="V137" s="28"/>
      <c r="W137" s="18">
        <f>MAX(W135,W136)</f>
        <v>157.80848468522345</v>
      </c>
      <c r="Y137" s="27" t="s">
        <v>592</v>
      </c>
      <c r="Z137" s="28"/>
      <c r="AA137" s="18">
        <f>MAX(AA135,AA136)</f>
        <v>-28.122087658480723</v>
      </c>
      <c r="AC137" s="27" t="s">
        <v>593</v>
      </c>
      <c r="AD137" s="28"/>
      <c r="AE137" s="18">
        <f>MAX(AE135,AE136)</f>
        <v>-224.71525583243101</v>
      </c>
      <c r="AG137" s="27" t="s">
        <v>533</v>
      </c>
      <c r="AH137" s="28"/>
      <c r="AI137" s="18">
        <f>MAX(AI135,AI136)</f>
        <v>-432.58248974394928</v>
      </c>
      <c r="AK137" s="27" t="s">
        <v>594</v>
      </c>
      <c r="AL137" s="28"/>
      <c r="AM137" s="18">
        <f>MAX(AM135,AM136)</f>
        <v>-652.3703253812173</v>
      </c>
      <c r="AO137" s="27" t="s">
        <v>595</v>
      </c>
      <c r="AP137" s="28"/>
      <c r="AQ137" s="18">
        <f>MAX(AQ135,AQ136)</f>
        <v>-884.76237575447158</v>
      </c>
    </row>
    <row r="139" spans="1:47">
      <c r="A139" s="37" t="s">
        <v>596</v>
      </c>
      <c r="B139" s="37"/>
      <c r="C139" s="37"/>
      <c r="E139" s="37" t="s">
        <v>597</v>
      </c>
      <c r="F139" s="37"/>
      <c r="G139" s="37"/>
      <c r="I139" s="30" t="s">
        <v>244</v>
      </c>
      <c r="J139" s="30"/>
      <c r="K139" s="30"/>
      <c r="M139" s="33" t="s">
        <v>307</v>
      </c>
      <c r="N139" s="34"/>
      <c r="O139" s="36"/>
      <c r="Q139" s="27" t="s">
        <v>598</v>
      </c>
      <c r="R139" s="29"/>
      <c r="S139" s="28"/>
      <c r="U139" s="33" t="s">
        <v>599</v>
      </c>
      <c r="V139" s="34"/>
      <c r="W139" s="28"/>
      <c r="Y139" s="27" t="s">
        <v>600</v>
      </c>
      <c r="Z139" s="29"/>
      <c r="AA139" s="28"/>
      <c r="AC139" s="27" t="s">
        <v>601</v>
      </c>
      <c r="AD139" s="29"/>
      <c r="AE139" s="28"/>
      <c r="AG139" s="27" t="s">
        <v>521</v>
      </c>
      <c r="AH139" s="29"/>
      <c r="AI139" s="28"/>
      <c r="AK139" s="27" t="s">
        <v>602</v>
      </c>
      <c r="AL139" s="29"/>
      <c r="AM139" s="28"/>
      <c r="AO139" s="30" t="s">
        <v>603</v>
      </c>
      <c r="AP139" s="30"/>
      <c r="AQ139" s="30"/>
    </row>
    <row r="140" spans="1:47">
      <c r="A140" s="37" t="s">
        <v>165</v>
      </c>
      <c r="B140" s="33"/>
      <c r="C140" s="18">
        <f>C19*(C17*AZ88+ C18*AZ91)</f>
        <v>946.23127960322586</v>
      </c>
      <c r="E140" s="30" t="s">
        <v>604</v>
      </c>
      <c r="F140" s="27"/>
      <c r="G140" s="18">
        <f>C19*(C17*C135 + C18*C140)</f>
        <v>899.73801841768284</v>
      </c>
      <c r="I140" s="30" t="s">
        <v>605</v>
      </c>
      <c r="J140" s="30"/>
      <c r="K140" s="18">
        <f>C19*(C17*G130 + C18*G135)</f>
        <v>755.95743202971698</v>
      </c>
      <c r="M140" s="30" t="s">
        <v>310</v>
      </c>
      <c r="N140" s="27"/>
      <c r="O140" s="18">
        <f>C19*(C17*K130 + C18*K135)</f>
        <v>603.96931162352382</v>
      </c>
      <c r="Q140" s="27" t="s">
        <v>310</v>
      </c>
      <c r="R140" s="28"/>
      <c r="S140" s="18">
        <f>C19*(C17*O130 + C18*O135)</f>
        <v>443.30329650932578</v>
      </c>
      <c r="U140" s="30" t="s">
        <v>310</v>
      </c>
      <c r="V140" s="30"/>
      <c r="W140" s="26">
        <f>C19*(C17*S130 + C18*S135)</f>
        <v>273.46207068131349</v>
      </c>
      <c r="Y140" s="27" t="s">
        <v>310</v>
      </c>
      <c r="Z140" s="28"/>
      <c r="AA140" s="19">
        <f>C19*(C17*W130 + C18*W135)</f>
        <v>93.919818068899488</v>
      </c>
      <c r="AC140" s="27" t="s">
        <v>310</v>
      </c>
      <c r="AD140" s="28"/>
      <c r="AE140" s="19">
        <f>C19*(C17*AA130 + C18*AA135)</f>
        <v>-95.879410738117784</v>
      </c>
      <c r="AG140" s="27" t="s">
        <v>310</v>
      </c>
      <c r="AH140" s="28"/>
      <c r="AI140" s="19">
        <f>C19*(C17*AE130 + C18*AE135)</f>
        <v>-296.52342536370867</v>
      </c>
      <c r="AK140" s="27" t="s">
        <v>310</v>
      </c>
      <c r="AL140" s="28"/>
      <c r="AM140" s="18">
        <f>C19*(C17*AI130 + C18*AI135)</f>
        <v>-508.63372148305473</v>
      </c>
      <c r="AO140" s="27" t="s">
        <v>310</v>
      </c>
      <c r="AP140" s="28"/>
      <c r="AQ140" s="24">
        <f>C19*(C17*AM130 + C18*AM145)</f>
        <v>-587.40870989403197</v>
      </c>
    </row>
    <row r="141" spans="1:47">
      <c r="A141" s="37" t="s">
        <v>166</v>
      </c>
      <c r="B141" s="33"/>
      <c r="C141" s="23">
        <f xml:space="preserve"> IF(G3 = "call",MAX(AW88- C4),MAX(C4 - AW88))</f>
        <v>946.70040012938034</v>
      </c>
      <c r="E141" s="38" t="s">
        <v>606</v>
      </c>
      <c r="F141" s="39"/>
      <c r="G141" s="18">
        <f xml:space="preserve"> IF(G3 = "call",MAX(AU85 - C4),MAX(C4 - AU85))</f>
        <v>900.67273753323389</v>
      </c>
      <c r="I141" s="30" t="s">
        <v>607</v>
      </c>
      <c r="J141" s="30"/>
      <c r="K141" s="18">
        <f xml:space="preserve"> IF(G3 = "call",MAX(AS79 - C4),MAX(C4 - AS79))</f>
        <v>757.34334252692088</v>
      </c>
      <c r="M141" s="30" t="s">
        <v>313</v>
      </c>
      <c r="N141" s="27"/>
      <c r="O141" s="18">
        <f xml:space="preserve"> IF(G3 = "call",MAX(AQ73 - C4),MAX(C4 - AQ73))</f>
        <v>605.79440949476384</v>
      </c>
      <c r="Q141" s="27" t="s">
        <v>313</v>
      </c>
      <c r="R141" s="28"/>
      <c r="S141" s="18">
        <f xml:space="preserve"> IF(G3 = "call",MAX(AO67 - C4),MAX(C4 - AO67))</f>
        <v>445.55457102915261</v>
      </c>
      <c r="U141" s="31" t="s">
        <v>313</v>
      </c>
      <c r="V141" s="35"/>
      <c r="W141" s="18">
        <f xml:space="preserve"> IF(G3 = "call",MAX(AM61 - C4),MAX(C4 - AM61))</f>
        <v>276.12542812626771</v>
      </c>
      <c r="Y141" s="27" t="s">
        <v>313</v>
      </c>
      <c r="Z141" s="29"/>
      <c r="AA141" s="18">
        <f xml:space="preserve"> IF(G3 = "call",MAX(AK55 - C4),MAX(C4 - AK55))</f>
        <v>96.979999999998654</v>
      </c>
      <c r="AC141" s="27" t="s">
        <v>313</v>
      </c>
      <c r="AD141" s="29"/>
      <c r="AE141" s="18">
        <f>IF(G3 = "call",MAX(AI49 - C4),MAX(C4 - AI49))</f>
        <v>-92.438915002953308</v>
      </c>
      <c r="AG141" s="27" t="s">
        <v>313</v>
      </c>
      <c r="AH141" s="29"/>
      <c r="AI141" s="18">
        <f xml:space="preserve"> IF(G3 = "call",MAX(AG43 - C4),MAX(C4 - AG43))</f>
        <v>-292.72047248487706</v>
      </c>
      <c r="AK141" s="27" t="s">
        <v>313</v>
      </c>
      <c r="AL141" s="28"/>
      <c r="AM141" s="18">
        <f xml:space="preserve"> IF(G3 = "call",MAX(AE37 - C4),MAX(C4 - AE37))</f>
        <v>-504.48761446623621</v>
      </c>
      <c r="AO141" s="27" t="s">
        <v>313</v>
      </c>
      <c r="AP141" s="28"/>
      <c r="AQ141" s="18">
        <f xml:space="preserve"> IF(G3 = "call",MAX(AC31 - C4),MAX(C4 - AC31))</f>
        <v>-728.39900694180596</v>
      </c>
    </row>
    <row r="142" spans="1:47">
      <c r="A142" s="30" t="s">
        <v>167</v>
      </c>
      <c r="B142" s="27"/>
      <c r="C142" s="18">
        <f>MAX(C140,C141)</f>
        <v>946.70040012938034</v>
      </c>
      <c r="E142" s="30" t="s">
        <v>608</v>
      </c>
      <c r="F142" s="27"/>
      <c r="G142" s="18">
        <f>MAX(G140,G141)</f>
        <v>900.67273753323389</v>
      </c>
      <c r="I142" s="30" t="s">
        <v>609</v>
      </c>
      <c r="J142" s="30"/>
      <c r="K142" s="18">
        <f>MAX(K140,K141)</f>
        <v>757.34334252692088</v>
      </c>
      <c r="M142" s="30" t="s">
        <v>610</v>
      </c>
      <c r="N142" s="27"/>
      <c r="O142" s="18">
        <f>MAX(O140,O141)</f>
        <v>605.79440949476384</v>
      </c>
      <c r="Q142" s="27" t="s">
        <v>611</v>
      </c>
      <c r="R142" s="28"/>
      <c r="S142" s="18">
        <f>MAX(S140,S141)</f>
        <v>445.55457102915261</v>
      </c>
      <c r="U142" s="27" t="s">
        <v>612</v>
      </c>
      <c r="V142" s="28"/>
      <c r="W142" s="24">
        <f>MAX(W140,W141)</f>
        <v>276.12542812626771</v>
      </c>
      <c r="Y142" s="27" t="s">
        <v>613</v>
      </c>
      <c r="Z142" s="28"/>
      <c r="AA142" s="24">
        <f>MAX(AA140,AA141)</f>
        <v>96.979999999998654</v>
      </c>
      <c r="AC142" s="27" t="s">
        <v>614</v>
      </c>
      <c r="AD142" s="28"/>
      <c r="AE142" s="24">
        <f>MAX(AE140,AE141)</f>
        <v>-92.438915002953308</v>
      </c>
      <c r="AG142" s="27" t="s">
        <v>533</v>
      </c>
      <c r="AH142" s="28"/>
      <c r="AI142" s="24">
        <f>MAX(AI140,AI141)</f>
        <v>-292.72047248487706</v>
      </c>
      <c r="AK142" s="27" t="s">
        <v>615</v>
      </c>
      <c r="AL142" s="28"/>
      <c r="AM142" s="18">
        <f>MAX(AM140,AM141)</f>
        <v>-504.48761446623621</v>
      </c>
      <c r="AO142" s="27" t="s">
        <v>616</v>
      </c>
      <c r="AP142" s="28"/>
      <c r="AQ142" s="18">
        <f>MAX(AQ140,AQ141)</f>
        <v>-587.40870989403197</v>
      </c>
      <c r="AS142" s="30" t="s">
        <v>617</v>
      </c>
      <c r="AT142" s="30"/>
    </row>
    <row r="144" spans="1:47">
      <c r="A144" s="37" t="s">
        <v>618</v>
      </c>
      <c r="B144" s="37"/>
      <c r="C144" s="37"/>
      <c r="E144" s="37" t="s">
        <v>619</v>
      </c>
      <c r="F144" s="37"/>
      <c r="G144" s="37"/>
      <c r="I144" s="30" t="s">
        <v>244</v>
      </c>
      <c r="J144" s="30"/>
      <c r="K144" s="30"/>
      <c r="M144" s="33" t="s">
        <v>307</v>
      </c>
      <c r="N144" s="34"/>
      <c r="O144" s="36"/>
      <c r="Q144" s="27" t="s">
        <v>620</v>
      </c>
      <c r="R144" s="29"/>
      <c r="S144" s="28"/>
      <c r="U144" s="33" t="s">
        <v>621</v>
      </c>
      <c r="V144" s="34"/>
      <c r="W144" s="28"/>
      <c r="Y144" s="27" t="s">
        <v>622</v>
      </c>
      <c r="Z144" s="29"/>
      <c r="AA144" s="28"/>
      <c r="AC144" s="27" t="s">
        <v>623</v>
      </c>
      <c r="AD144" s="29"/>
      <c r="AE144" s="28"/>
      <c r="AG144" s="27" t="s">
        <v>521</v>
      </c>
      <c r="AH144" s="29"/>
      <c r="AI144" s="28"/>
      <c r="AK144" s="27" t="s">
        <v>624</v>
      </c>
      <c r="AL144" s="29"/>
      <c r="AM144" s="28"/>
      <c r="AO144" s="30" t="s">
        <v>625</v>
      </c>
      <c r="AP144" s="30"/>
      <c r="AQ144" s="30"/>
      <c r="AS144" s="30" t="s">
        <v>626</v>
      </c>
      <c r="AT144" s="30"/>
      <c r="AU144" s="30"/>
    </row>
    <row r="145" spans="1:51">
      <c r="A145" s="37" t="s">
        <v>165</v>
      </c>
      <c r="B145" s="33"/>
      <c r="C145" s="19">
        <f>C19*(C17*AZ91+ C18*AZ94)</f>
        <v>1035.7559371820801</v>
      </c>
      <c r="E145" s="30" t="s">
        <v>627</v>
      </c>
      <c r="F145" s="27"/>
      <c r="G145" s="18">
        <f>C19*(C17*C140 + C18*C145)</f>
        <v>990.93889461910646</v>
      </c>
      <c r="I145" s="30" t="s">
        <v>628</v>
      </c>
      <c r="J145" s="30"/>
      <c r="K145" s="18">
        <f>C19*(C17*G135 + C18*G140)</f>
        <v>852.38482603687908</v>
      </c>
      <c r="M145" s="30" t="s">
        <v>310</v>
      </c>
      <c r="N145" s="27"/>
      <c r="O145" s="18">
        <f>C19*(C17*K135 + C18*K140)</f>
        <v>705.9227434576286</v>
      </c>
      <c r="Q145" s="27" t="s">
        <v>310</v>
      </c>
      <c r="R145" s="28"/>
      <c r="S145" s="18">
        <f>C19*(C17*O135 + C18*O140)</f>
        <v>551.0994510126759</v>
      </c>
      <c r="U145" s="30" t="s">
        <v>310</v>
      </c>
      <c r="V145" s="30"/>
      <c r="W145" s="25">
        <f>C19*(C17*S135 + C18*S140)</f>
        <v>387.43578119473506</v>
      </c>
      <c r="Y145" s="27" t="s">
        <v>310</v>
      </c>
      <c r="Z145" s="28"/>
      <c r="AA145" s="18">
        <f>C19*(C17*W135 + C18*W140)</f>
        <v>214.42510648151634</v>
      </c>
      <c r="AC145" s="27" t="s">
        <v>310</v>
      </c>
      <c r="AD145" s="28"/>
      <c r="AE145" s="18">
        <f>C19*(C17*AA135 + C18*AA140)</f>
        <v>31.531765663811534</v>
      </c>
      <c r="AG145" s="27" t="s">
        <v>310</v>
      </c>
      <c r="AH145" s="28"/>
      <c r="AI145" s="18">
        <f>C19*(C17*AE135 + C18*AE140)</f>
        <v>-161.81060001002973</v>
      </c>
      <c r="AK145" s="27" t="s">
        <v>310</v>
      </c>
      <c r="AL145" s="28"/>
      <c r="AM145" s="18">
        <f>C19*(C17*AI135 + C18*AI140)</f>
        <v>-366.20080604145471</v>
      </c>
      <c r="AO145" s="27" t="s">
        <v>310</v>
      </c>
      <c r="AP145" s="28"/>
      <c r="AQ145" s="24">
        <f>C19*(C17*AM135 + C18*AM140)</f>
        <v>-582.27198470529277</v>
      </c>
      <c r="AS145" s="30" t="s">
        <v>310</v>
      </c>
      <c r="AT145" s="30"/>
      <c r="AU145" s="18">
        <f>C19*(C17*AQ135 + C18*AQ140)</f>
        <v>-737.79960018445513</v>
      </c>
    </row>
    <row r="146" spans="1:51">
      <c r="A146" s="37" t="s">
        <v>166</v>
      </c>
      <c r="B146" s="33"/>
      <c r="C146" s="19">
        <f xml:space="preserve"> IF(G3 = "call",MAX(AW91- C4),MAX(C4 - AW91))</f>
        <v>1036.2283964339567</v>
      </c>
      <c r="E146" s="38" t="s">
        <v>629</v>
      </c>
      <c r="F146" s="39"/>
      <c r="G146" s="18">
        <f xml:space="preserve"> IF(G3 = "call",MAX(AU88 - C4),MAX(C4 - AU88))</f>
        <v>991.88041633848525</v>
      </c>
      <c r="I146" s="30" t="s">
        <v>630</v>
      </c>
      <c r="J146" s="30"/>
      <c r="K146" s="18">
        <f xml:space="preserve"> IF(G3 = "call",MAX(AS82 - C4),MAX(C4 - AS82))</f>
        <v>853.78152540397014</v>
      </c>
      <c r="M146" s="30" t="s">
        <v>313</v>
      </c>
      <c r="N146" s="27"/>
      <c r="O146" s="18">
        <f xml:space="preserve"> IF(G3 = "call",MAX(AQ76 - C4),MAX(C4 - AQ76))</f>
        <v>707.76305115360219</v>
      </c>
      <c r="Q146" s="27" t="s">
        <v>313</v>
      </c>
      <c r="R146" s="28"/>
      <c r="S146" s="18">
        <f xml:space="preserve"> IF(G3 = "call",MAX(AO70 - C4),MAX(C4 - AO70))</f>
        <v>553.37082773947213</v>
      </c>
      <c r="U146" s="31" t="s">
        <v>313</v>
      </c>
      <c r="V146" s="32"/>
      <c r="W146" s="18">
        <f xml:space="preserve"> IF(G3 = "call",MAX(AM64 - C4),MAX(C4 - AM64))</f>
        <v>390.12464417856791</v>
      </c>
      <c r="Y146" s="27" t="s">
        <v>313</v>
      </c>
      <c r="Z146" s="28"/>
      <c r="AA146" s="18">
        <f xml:space="preserve"> IF(G3 = "call",MAX(AK58 - C4),MAX(C4 - AK58))</f>
        <v>217.51675073746947</v>
      </c>
      <c r="AC146" s="27" t="s">
        <v>313</v>
      </c>
      <c r="AD146" s="28"/>
      <c r="AE146" s="18">
        <f>IF(G3 = "call",MAX(AI52 - C4),MAX(C4 - AI52))</f>
        <v>35.01027966240008</v>
      </c>
      <c r="AG146" s="27" t="s">
        <v>313</v>
      </c>
      <c r="AH146" s="28"/>
      <c r="AI146" s="18">
        <f xml:space="preserve"> IF(G3 = "call",MAX(AG46 - C4),MAX(C4 - AG46))</f>
        <v>-157.96242465741443</v>
      </c>
      <c r="AK146" s="27" t="s">
        <v>313</v>
      </c>
      <c r="AL146" s="28"/>
      <c r="AM146" s="18">
        <f xml:space="preserve"> IF(G3 = "call",MAX(AE40 - C4),MAX(C4 - AE40))</f>
        <v>-362.00157128682486</v>
      </c>
      <c r="AO146" s="27" t="s">
        <v>313</v>
      </c>
      <c r="AP146" s="28"/>
      <c r="AQ146" s="18">
        <f xml:space="preserve"> IF(G3 = "call",MAX(AC34 - C4),MAX(C4 - AC34))</f>
        <v>-577.74178959387382</v>
      </c>
      <c r="AS146" s="30" t="s">
        <v>313</v>
      </c>
      <c r="AT146" s="30"/>
      <c r="AU146" s="18">
        <f xml:space="preserve"> IF(G3 = "call",MAX(AA28 - C4),MAX(C4 - AA28))</f>
        <v>-805.8541031574523</v>
      </c>
    </row>
    <row r="147" spans="1:51">
      <c r="A147" s="30" t="s">
        <v>167</v>
      </c>
      <c r="B147" s="27"/>
      <c r="C147" s="18">
        <f>MAX(C145,C146)</f>
        <v>1036.2283964339567</v>
      </c>
      <c r="E147" s="30" t="s">
        <v>631</v>
      </c>
      <c r="F147" s="27"/>
      <c r="G147" s="18">
        <f>MAX(G145,G146)</f>
        <v>991.88041633848525</v>
      </c>
      <c r="I147" s="30" t="s">
        <v>632</v>
      </c>
      <c r="J147" s="30"/>
      <c r="K147" s="18">
        <f>MAX(K145,K146)</f>
        <v>853.78152540397014</v>
      </c>
      <c r="M147" s="30" t="s">
        <v>633</v>
      </c>
      <c r="N147" s="27"/>
      <c r="O147" s="18">
        <f>MAX(O145,O146)</f>
        <v>707.76305115360219</v>
      </c>
      <c r="Q147" s="27" t="s">
        <v>634</v>
      </c>
      <c r="R147" s="28"/>
      <c r="S147" s="18">
        <f>MAX(S145,S146)</f>
        <v>553.37082773947213</v>
      </c>
      <c r="U147" s="27" t="s">
        <v>635</v>
      </c>
      <c r="V147" s="28"/>
      <c r="W147" s="18">
        <f>MAX(W145,W146)</f>
        <v>390.12464417856791</v>
      </c>
      <c r="Y147" s="27" t="s">
        <v>636</v>
      </c>
      <c r="Z147" s="28"/>
      <c r="AA147" s="18">
        <f>MAX(AA145,AA146)</f>
        <v>217.51675073746947</v>
      </c>
      <c r="AC147" s="27" t="s">
        <v>637</v>
      </c>
      <c r="AD147" s="28"/>
      <c r="AE147" s="18">
        <f>MAX(AE145,AE146)</f>
        <v>35.01027966240008</v>
      </c>
      <c r="AG147" s="27" t="s">
        <v>533</v>
      </c>
      <c r="AH147" s="28"/>
      <c r="AI147" s="18">
        <f>MAX(AI145,AI146)</f>
        <v>-157.96242465741443</v>
      </c>
      <c r="AK147" s="27" t="s">
        <v>638</v>
      </c>
      <c r="AL147" s="28"/>
      <c r="AM147" s="18">
        <f>MAX(AM145,AM146)</f>
        <v>-362.00157128682486</v>
      </c>
      <c r="AO147" s="27" t="s">
        <v>639</v>
      </c>
      <c r="AP147" s="28"/>
      <c r="AQ147" s="18">
        <f>MAX(AQ145,AQ146)</f>
        <v>-577.74178959387382</v>
      </c>
      <c r="AS147" s="30" t="s">
        <v>640</v>
      </c>
      <c r="AT147" s="30"/>
      <c r="AU147" s="18">
        <f>MAX(AU145,AU146)</f>
        <v>-737.79960018445513</v>
      </c>
    </row>
    <row r="149" spans="1:51">
      <c r="A149" s="37" t="s">
        <v>641</v>
      </c>
      <c r="B149" s="37"/>
      <c r="C149" s="37"/>
      <c r="E149" s="37" t="s">
        <v>642</v>
      </c>
      <c r="F149" s="37"/>
      <c r="G149" s="37"/>
      <c r="I149" s="30" t="s">
        <v>244</v>
      </c>
      <c r="J149" s="30"/>
      <c r="K149" s="30"/>
      <c r="M149" s="33" t="s">
        <v>307</v>
      </c>
      <c r="N149" s="34"/>
      <c r="O149" s="36"/>
      <c r="Q149" s="27" t="s">
        <v>643</v>
      </c>
      <c r="R149" s="29"/>
      <c r="S149" s="28"/>
      <c r="U149" s="33" t="s">
        <v>644</v>
      </c>
      <c r="V149" s="34"/>
      <c r="W149" s="28"/>
      <c r="Y149" s="27" t="s">
        <v>645</v>
      </c>
      <c r="Z149" s="29"/>
      <c r="AA149" s="28"/>
      <c r="AC149" s="27" t="s">
        <v>646</v>
      </c>
      <c r="AD149" s="29"/>
      <c r="AE149" s="28"/>
      <c r="AG149" s="27" t="s">
        <v>521</v>
      </c>
      <c r="AH149" s="29"/>
      <c r="AI149" s="28"/>
      <c r="AK149" s="27" t="s">
        <v>647</v>
      </c>
      <c r="AL149" s="29"/>
      <c r="AM149" s="28"/>
      <c r="AO149" s="30" t="s">
        <v>648</v>
      </c>
      <c r="AP149" s="30"/>
      <c r="AQ149" s="30"/>
      <c r="AS149" s="30" t="s">
        <v>649</v>
      </c>
      <c r="AT149" s="30"/>
      <c r="AU149" s="30"/>
    </row>
    <row r="150" spans="1:51">
      <c r="A150" s="37" t="s">
        <v>165</v>
      </c>
      <c r="B150" s="33"/>
      <c r="C150" s="19">
        <f>C19*(C17*AZ94+ C18*AZ97)</f>
        <v>1122.0135811384187</v>
      </c>
      <c r="E150" s="30" t="s">
        <v>650</v>
      </c>
      <c r="F150" s="27"/>
      <c r="G150" s="18">
        <f>C19*(C17*C145 + C18*C150)</f>
        <v>1078.8115871335617</v>
      </c>
      <c r="I150" s="30" t="s">
        <v>651</v>
      </c>
      <c r="J150" s="30"/>
      <c r="K150" s="18">
        <f>C19*(C17*G140 + C18*G145)</f>
        <v>945.29330560946153</v>
      </c>
      <c r="M150" s="30" t="s">
        <v>310</v>
      </c>
      <c r="N150" s="27"/>
      <c r="O150" s="18">
        <f>C19*(C17*K140 + C18*K145)</f>
        <v>804.15559975788358</v>
      </c>
      <c r="Q150" s="27" t="s">
        <v>310</v>
      </c>
      <c r="R150" s="28"/>
      <c r="S150" s="18">
        <f>C19*(C17*O140 + C18*O145)</f>
        <v>654.96181213729119</v>
      </c>
      <c r="U150" s="30" t="s">
        <v>310</v>
      </c>
      <c r="V150" s="30"/>
      <c r="W150" s="25">
        <f>C19*(C17*S140 + C18*S145)</f>
        <v>497.2502614477342</v>
      </c>
      <c r="Y150" s="27" t="s">
        <v>310</v>
      </c>
      <c r="Z150" s="28"/>
      <c r="AA150" s="18">
        <f>C19*(C17*W140 + C18*W145)</f>
        <v>330.53280846960701</v>
      </c>
      <c r="AC150" s="27" t="s">
        <v>310</v>
      </c>
      <c r="AD150" s="28"/>
      <c r="AE150" s="18">
        <f>C19*(C17*AA140 + C18*AA145)</f>
        <v>154.29333981957603</v>
      </c>
      <c r="AG150" s="27" t="s">
        <v>310</v>
      </c>
      <c r="AH150" s="28"/>
      <c r="AI150" s="18">
        <f>C19*(C17*AE140 + C18*AE145)</f>
        <v>-32.013835186046983</v>
      </c>
      <c r="AK150" s="27" t="s">
        <v>310</v>
      </c>
      <c r="AL150" s="28"/>
      <c r="AM150" s="18">
        <f>C19*(C17*AI140 + C18*AI145)</f>
        <v>-228.96567954009586</v>
      </c>
      <c r="AO150" s="27" t="s">
        <v>310</v>
      </c>
      <c r="AP150" s="28"/>
      <c r="AQ150" s="24">
        <f>C19*(C17*AM140 + C18*AM145)</f>
        <v>-437.17222069049598</v>
      </c>
      <c r="AS150" s="30" t="s">
        <v>310</v>
      </c>
      <c r="AT150" s="30"/>
      <c r="AU150" s="18">
        <f>C19*(C17*AQ140 + C18*AQ145)</f>
        <v>-584.73767948494083</v>
      </c>
    </row>
    <row r="151" spans="1:51">
      <c r="A151" s="37" t="s">
        <v>166</v>
      </c>
      <c r="B151" s="33"/>
      <c r="C151" s="19">
        <f xml:space="preserve"> IF(G3 = "call",MAX(AW94- C4),MAX(C4 - AW94))</f>
        <v>1122.4892572762619</v>
      </c>
      <c r="E151" s="38" t="s">
        <v>652</v>
      </c>
      <c r="F151" s="39"/>
      <c r="G151" s="18">
        <f xml:space="preserve"> IF(G3 = "call",MAX(AU91 - C4),MAX(C4 - AU91))</f>
        <v>1079.7596632100849</v>
      </c>
      <c r="I151" s="30" t="s">
        <v>653</v>
      </c>
      <c r="J151" s="30"/>
      <c r="K151" s="18">
        <f xml:space="preserve"> IF(G3 = "call",MAX(AS85 - C4),MAX(C4 - AS85))</f>
        <v>946.70040012938034</v>
      </c>
      <c r="M151" s="30" t="s">
        <v>313</v>
      </c>
      <c r="N151" s="27"/>
      <c r="O151" s="18">
        <f xml:space="preserve"> IF(G3 = "call",MAX(AQ79 - C4),MAX(C4 - AQ79))</f>
        <v>806.01056222810621</v>
      </c>
      <c r="Q151" s="27" t="s">
        <v>313</v>
      </c>
      <c r="R151" s="28"/>
      <c r="S151" s="18">
        <f xml:space="preserve"> IF(G3 = "call",MAX(AO73 - C4),MAX(C4 - AO73))</f>
        <v>657.2525574833976</v>
      </c>
      <c r="U151" s="31" t="s">
        <v>313</v>
      </c>
      <c r="V151" s="32"/>
      <c r="W151" s="18">
        <f xml:space="preserve"> IF(G3 = "call",MAX(AM67 - C4),MAX(C4 - AM67))</f>
        <v>499.96369919958033</v>
      </c>
      <c r="Y151" s="27" t="s">
        <v>313</v>
      </c>
      <c r="Z151" s="28"/>
      <c r="AA151" s="18">
        <f xml:space="preserve"> IF(G3 = "call",MAX(AK61 - C4),MAX(C4 - AK61))</f>
        <v>333.65476689920433</v>
      </c>
      <c r="AC151" s="27" t="s">
        <v>313</v>
      </c>
      <c r="AD151" s="28"/>
      <c r="AE151" s="18">
        <f>IF(G3 = "call",MAX(AI55 - C4),MAX(C4 - AI55))</f>
        <v>157.80848468522299</v>
      </c>
      <c r="AG151" s="27" t="s">
        <v>313</v>
      </c>
      <c r="AH151" s="28"/>
      <c r="AI151" s="18">
        <f xml:space="preserve"> IF(G3 = "call",MAX(AG49 - C4),MAX(C4 - AG49))</f>
        <v>-28.122087658479813</v>
      </c>
      <c r="AK151" s="27" t="s">
        <v>313</v>
      </c>
      <c r="AL151" s="28"/>
      <c r="AM151" s="18">
        <f xml:space="preserve"> IF(G3 = "call",MAX(AE43 - C4),MAX(C4 - AE43))</f>
        <v>-224.71525583243101</v>
      </c>
      <c r="AO151" s="27" t="s">
        <v>313</v>
      </c>
      <c r="AP151" s="28"/>
      <c r="AQ151" s="18">
        <f xml:space="preserve"> IF(G3 = "call",MAX(AC37 - C4),MAX(C4 - AC37))</f>
        <v>-432.58248974394883</v>
      </c>
      <c r="AS151" s="30" t="s">
        <v>313</v>
      </c>
      <c r="AT151" s="30"/>
      <c r="AU151" s="18">
        <f xml:space="preserve"> IF(G3 = "call",MAX(AA31 - C4),MAX(C4 - AA31))</f>
        <v>-652.37032538121684</v>
      </c>
    </row>
    <row r="152" spans="1:51">
      <c r="A152" s="30" t="s">
        <v>167</v>
      </c>
      <c r="B152" s="27"/>
      <c r="C152" s="18">
        <f>MAX(C150,C151)</f>
        <v>1122.4892572762619</v>
      </c>
      <c r="E152" s="30" t="s">
        <v>654</v>
      </c>
      <c r="F152" s="27"/>
      <c r="G152" s="18">
        <f>MAX(G150,G151)</f>
        <v>1079.7596632100849</v>
      </c>
      <c r="I152" s="30" t="s">
        <v>655</v>
      </c>
      <c r="J152" s="30"/>
      <c r="K152" s="18">
        <f>MAX(K150,K151)</f>
        <v>946.70040012938034</v>
      </c>
      <c r="M152" s="30" t="s">
        <v>656</v>
      </c>
      <c r="N152" s="27"/>
      <c r="O152" s="18">
        <f>MAX(O150,O151)</f>
        <v>806.01056222810621</v>
      </c>
      <c r="Q152" s="27" t="s">
        <v>657</v>
      </c>
      <c r="R152" s="28"/>
      <c r="S152" s="18">
        <f>MAX(S150,S151)</f>
        <v>657.2525574833976</v>
      </c>
      <c r="U152" s="27" t="s">
        <v>658</v>
      </c>
      <c r="V152" s="28"/>
      <c r="W152" s="18">
        <f>MAX(W150,W151)</f>
        <v>499.96369919958033</v>
      </c>
      <c r="Y152" s="27" t="s">
        <v>659</v>
      </c>
      <c r="Z152" s="28"/>
      <c r="AA152" s="18">
        <f>MAX(AA150,AA151)</f>
        <v>333.65476689920433</v>
      </c>
      <c r="AC152" s="27" t="s">
        <v>660</v>
      </c>
      <c r="AD152" s="28"/>
      <c r="AE152" s="18">
        <f>MAX(AE150,AE151)</f>
        <v>157.80848468522299</v>
      </c>
      <c r="AG152" s="27" t="s">
        <v>533</v>
      </c>
      <c r="AH152" s="28"/>
      <c r="AI152" s="18">
        <f>MAX(AI150,AI151)</f>
        <v>-28.122087658479813</v>
      </c>
      <c r="AK152" s="27" t="s">
        <v>661</v>
      </c>
      <c r="AL152" s="28"/>
      <c r="AM152" s="18">
        <f>MAX(AM150,AM151)</f>
        <v>-224.71525583243101</v>
      </c>
      <c r="AO152" s="27" t="s">
        <v>662</v>
      </c>
      <c r="AP152" s="28"/>
      <c r="AQ152" s="18">
        <f>MAX(AQ150,AQ151)</f>
        <v>-432.58248974394883</v>
      </c>
      <c r="AS152" s="30" t="s">
        <v>663</v>
      </c>
      <c r="AT152" s="30"/>
      <c r="AU152" s="18">
        <f>MAX(AU150,AU151)</f>
        <v>-584.73767948494083</v>
      </c>
      <c r="AW152" s="30" t="s">
        <v>664</v>
      </c>
      <c r="AX152" s="30"/>
    </row>
    <row r="154" spans="1:51">
      <c r="A154" s="37" t="s">
        <v>665</v>
      </c>
      <c r="B154" s="37"/>
      <c r="C154" s="37"/>
      <c r="E154" s="37" t="s">
        <v>666</v>
      </c>
      <c r="F154" s="37"/>
      <c r="G154" s="37"/>
      <c r="I154" s="30" t="s">
        <v>244</v>
      </c>
      <c r="J154" s="30"/>
      <c r="K154" s="30"/>
      <c r="M154" s="33" t="s">
        <v>307</v>
      </c>
      <c r="N154" s="34"/>
      <c r="O154" s="36"/>
      <c r="Q154" s="27" t="s">
        <v>667</v>
      </c>
      <c r="R154" s="29"/>
      <c r="S154" s="28"/>
      <c r="U154" s="33" t="s">
        <v>668</v>
      </c>
      <c r="V154" s="34"/>
      <c r="W154" s="28"/>
      <c r="Y154" s="27" t="s">
        <v>669</v>
      </c>
      <c r="Z154" s="29"/>
      <c r="AA154" s="28"/>
      <c r="AC154" s="27" t="s">
        <v>670</v>
      </c>
      <c r="AD154" s="29"/>
      <c r="AE154" s="28"/>
      <c r="AG154" s="27" t="s">
        <v>521</v>
      </c>
      <c r="AH154" s="29"/>
      <c r="AI154" s="28"/>
      <c r="AK154" s="27" t="s">
        <v>671</v>
      </c>
      <c r="AL154" s="29"/>
      <c r="AM154" s="28"/>
      <c r="AO154" s="30" t="s">
        <v>672</v>
      </c>
      <c r="AP154" s="30"/>
      <c r="AQ154" s="30"/>
      <c r="AS154" s="30" t="s">
        <v>673</v>
      </c>
      <c r="AT154" s="30"/>
      <c r="AU154" s="30"/>
      <c r="AW154" s="27" t="s">
        <v>674</v>
      </c>
      <c r="AX154" s="29"/>
      <c r="AY154" s="28"/>
    </row>
    <row r="155" spans="1:51">
      <c r="A155" s="37" t="s">
        <v>165</v>
      </c>
      <c r="B155" s="33"/>
      <c r="C155" s="19">
        <f>C19*(C17*AZ97+ C18*AZ100)</f>
        <v>1205.1234342461505</v>
      </c>
      <c r="E155" s="30" t="s">
        <v>675</v>
      </c>
      <c r="F155" s="27"/>
      <c r="G155" s="18">
        <f>C19*(C17*C150 + C18*C155)</f>
        <v>1163.4775510074865</v>
      </c>
      <c r="I155" s="30" t="s">
        <v>676</v>
      </c>
      <c r="J155" s="30"/>
      <c r="K155" s="18">
        <f>C19*(C17*G145 + C18*G150)</f>
        <v>1034.8112861103953</v>
      </c>
      <c r="M155" s="30" t="s">
        <v>310</v>
      </c>
      <c r="N155" s="27"/>
      <c r="O155" s="18">
        <f>C19*(C17*K145 + C18*K150)</f>
        <v>898.80365508384989</v>
      </c>
      <c r="Q155" s="27" t="s">
        <v>310</v>
      </c>
      <c r="R155" s="28"/>
      <c r="S155" s="18">
        <f>C19*(C17*O145 + C18*O150)</f>
        <v>755.03393537842953</v>
      </c>
      <c r="U155" s="30" t="s">
        <v>310</v>
      </c>
      <c r="V155" s="30"/>
      <c r="W155" s="25">
        <f>C19*(C17*S145 + C18*S150)</f>
        <v>603.05729377924888</v>
      </c>
      <c r="Y155" s="27" t="s">
        <v>310</v>
      </c>
      <c r="Z155" s="28"/>
      <c r="AA155" s="18">
        <f>C19*(C17*W145 + C18*W150)</f>
        <v>442.40340467776332</v>
      </c>
      <c r="AC155" s="27" t="s">
        <v>310</v>
      </c>
      <c r="AD155" s="28"/>
      <c r="AE155" s="18">
        <f>C19*(C17*AA145 + C18*AA150)</f>
        <v>272.57498915982239</v>
      </c>
      <c r="AG155" s="27" t="s">
        <v>310</v>
      </c>
      <c r="AH155" s="28"/>
      <c r="AI155" s="18">
        <f>C19*(C17*AE145 + C18*AE150)</f>
        <v>93.046270372136988</v>
      </c>
      <c r="AK155" s="27" t="s">
        <v>310</v>
      </c>
      <c r="AL155" s="28"/>
      <c r="AM155" s="18">
        <f>C19*(C17*AI145 + C18*AI150)</f>
        <v>-96.738659630740543</v>
      </c>
      <c r="AO155" s="27" t="s">
        <v>310</v>
      </c>
      <c r="AP155" s="28"/>
      <c r="AQ155" s="24">
        <f>C19*(C17*AM145 + C18*AM150)</f>
        <v>-297.36756663177505</v>
      </c>
      <c r="AS155" s="30" t="s">
        <v>310</v>
      </c>
      <c r="AT155" s="30"/>
      <c r="AU155" s="18">
        <f>C19*(C17*AQ145 + C18*AQ150)</f>
        <v>-509.46189995271317</v>
      </c>
      <c r="AW155" s="27" t="s">
        <v>310</v>
      </c>
      <c r="AX155" s="28"/>
      <c r="AY155" s="18">
        <f>C19*(C17*AU145 + C18*AU150)</f>
        <v>-660.97378289906726</v>
      </c>
    </row>
    <row r="156" spans="1:51">
      <c r="A156" s="37" t="s">
        <v>166</v>
      </c>
      <c r="B156" s="33"/>
      <c r="C156" s="19">
        <f xml:space="preserve"> IF(G3 = "call",MAX(AW97- C4),MAX(C4 - AW97))</f>
        <v>1205.6022098764893</v>
      </c>
      <c r="E156" s="38" t="s">
        <v>677</v>
      </c>
      <c r="F156" s="39"/>
      <c r="G156" s="18">
        <f xml:space="preserve"> IF(G3 = "call",MAX(AU94 - C4),MAX(C4 - AU94))</f>
        <v>1164.4319422537087</v>
      </c>
      <c r="I156" s="30" t="s">
        <v>678</v>
      </c>
      <c r="J156" s="30"/>
      <c r="K156" s="18">
        <f xml:space="preserve"> IF(G3 = "call",MAX(AS88 - C4),MAX(C4 - AS88))</f>
        <v>1036.2283964339567</v>
      </c>
      <c r="M156" s="30" t="s">
        <v>313</v>
      </c>
      <c r="N156" s="27"/>
      <c r="O156" s="18">
        <f xml:space="preserve"> IF(G3 = "call",MAX(AQ82 - C4),MAX(C4 - AQ82))</f>
        <v>900.67273753323389</v>
      </c>
      <c r="Q156" s="27" t="s">
        <v>313</v>
      </c>
      <c r="R156" s="28"/>
      <c r="S156" s="18">
        <f xml:space="preserve"> IF(G3 = "call",MAX(AO76 - C4),MAX(C4 - AO76))</f>
        <v>757.34334252692133</v>
      </c>
      <c r="U156" s="31" t="s">
        <v>313</v>
      </c>
      <c r="V156" s="32"/>
      <c r="W156" s="18">
        <f xml:space="preserve"> IF(G3 = "call",MAX(AM70 - C4),MAX(C4 - AM70))</f>
        <v>605.79440949476384</v>
      </c>
      <c r="Y156" s="27" t="s">
        <v>313</v>
      </c>
      <c r="Z156" s="28"/>
      <c r="AA156" s="18">
        <f xml:space="preserve"> IF(G3 = "call",MAX(AK64 - C4),MAX(C4 - AK64))</f>
        <v>445.55457102915307</v>
      </c>
      <c r="AC156" s="27" t="s">
        <v>313</v>
      </c>
      <c r="AD156" s="28"/>
      <c r="AE156" s="18">
        <f>IF(G3 = "call",MAX(AI58 - C4),MAX(C4 - AI58))</f>
        <v>276.12542812626816</v>
      </c>
      <c r="AG156" s="27" t="s">
        <v>313</v>
      </c>
      <c r="AH156" s="28"/>
      <c r="AI156" s="18">
        <f xml:space="preserve"> IF(G3 = "call",MAX(AG52 - C4),MAX(C4 - AG52))</f>
        <v>96.979999999998199</v>
      </c>
      <c r="AK156" s="27" t="s">
        <v>313</v>
      </c>
      <c r="AL156" s="28"/>
      <c r="AM156" s="18">
        <f xml:space="preserve"> IF(G3 = "call",MAX(AE46 - C4),MAX(C4 - AE46))</f>
        <v>-92.438915002952399</v>
      </c>
      <c r="AO156" s="27" t="s">
        <v>313</v>
      </c>
      <c r="AP156" s="28"/>
      <c r="AQ156" s="18">
        <f xml:space="preserve"> IF(G3 = "call",MAX(AC40 - C4),MAX(C4 - AC40))</f>
        <v>-292.72047248487661</v>
      </c>
      <c r="AS156" s="30" t="s">
        <v>313</v>
      </c>
      <c r="AT156" s="30"/>
      <c r="AU156" s="18">
        <f xml:space="preserve"> IF(G3 = "call",MAX(AA34 - C4),MAX(C4 - AA34))</f>
        <v>-504.48761446623621</v>
      </c>
      <c r="AW156" s="27" t="s">
        <v>313</v>
      </c>
      <c r="AX156" s="28"/>
      <c r="AY156" s="18">
        <f xml:space="preserve"> IF(G3 = "call",MAX(Y28 - C4),MAX(C4 - Y28))</f>
        <v>-728.39900694180596</v>
      </c>
    </row>
    <row r="157" spans="1:51">
      <c r="A157" s="30" t="s">
        <v>167</v>
      </c>
      <c r="B157" s="27"/>
      <c r="C157" s="18">
        <f>MAX(C155,C156)</f>
        <v>1205.6022098764893</v>
      </c>
      <c r="E157" s="30" t="s">
        <v>679</v>
      </c>
      <c r="F157" s="27"/>
      <c r="G157" s="18">
        <f>MAX(G155,G156)</f>
        <v>1164.4319422537087</v>
      </c>
      <c r="I157" s="30" t="s">
        <v>680</v>
      </c>
      <c r="J157" s="30"/>
      <c r="K157" s="18">
        <f>MAX(K155,K156)</f>
        <v>1036.2283964339567</v>
      </c>
      <c r="M157" s="30" t="s">
        <v>681</v>
      </c>
      <c r="N157" s="27"/>
      <c r="O157" s="18">
        <f>MAX(O155,O156)</f>
        <v>900.67273753323389</v>
      </c>
      <c r="Q157" s="27" t="s">
        <v>682</v>
      </c>
      <c r="R157" s="28"/>
      <c r="S157" s="18">
        <f>MAX(S155,S156)</f>
        <v>757.34334252692133</v>
      </c>
      <c r="U157" s="27" t="s">
        <v>683</v>
      </c>
      <c r="V157" s="28"/>
      <c r="W157" s="18">
        <f>MAX(W155,W156)</f>
        <v>605.79440949476384</v>
      </c>
      <c r="Y157" s="27" t="s">
        <v>684</v>
      </c>
      <c r="Z157" s="28"/>
      <c r="AA157" s="18">
        <f>MAX(AA155,AA156)</f>
        <v>445.55457102915307</v>
      </c>
      <c r="AC157" s="27" t="s">
        <v>685</v>
      </c>
      <c r="AD157" s="28"/>
      <c r="AE157" s="18">
        <f>MAX(AE155,AE156)</f>
        <v>276.12542812626816</v>
      </c>
      <c r="AG157" s="27" t="s">
        <v>533</v>
      </c>
      <c r="AH157" s="28"/>
      <c r="AI157" s="18">
        <f>MAX(AI155,AI156)</f>
        <v>96.979999999998199</v>
      </c>
      <c r="AK157" s="27" t="s">
        <v>686</v>
      </c>
      <c r="AL157" s="28"/>
      <c r="AM157" s="18">
        <f>MAX(AM155,AM156)</f>
        <v>-92.438915002952399</v>
      </c>
      <c r="AO157" s="27" t="s">
        <v>687</v>
      </c>
      <c r="AP157" s="28"/>
      <c r="AQ157" s="18">
        <f>MAX(AQ155,AQ156)</f>
        <v>-292.72047248487661</v>
      </c>
      <c r="AS157" s="30" t="s">
        <v>688</v>
      </c>
      <c r="AT157" s="30"/>
      <c r="AU157" s="18">
        <f>MAX(AU155,AU156)</f>
        <v>-504.48761446623621</v>
      </c>
      <c r="AW157" s="27" t="s">
        <v>689</v>
      </c>
      <c r="AX157" s="28"/>
      <c r="AY157" s="18">
        <f>MAX(AY155,AY156)</f>
        <v>-660.97378289906726</v>
      </c>
    </row>
    <row r="159" spans="1:51">
      <c r="A159" s="37" t="s">
        <v>690</v>
      </c>
      <c r="B159" s="37"/>
      <c r="C159" s="37"/>
      <c r="E159" s="37" t="s">
        <v>691</v>
      </c>
      <c r="F159" s="37"/>
      <c r="G159" s="37"/>
      <c r="I159" s="30" t="s">
        <v>244</v>
      </c>
      <c r="J159" s="30"/>
      <c r="K159" s="30"/>
      <c r="M159" s="33" t="s">
        <v>307</v>
      </c>
      <c r="N159" s="34"/>
      <c r="O159" s="36"/>
      <c r="Q159" s="27" t="s">
        <v>692</v>
      </c>
      <c r="R159" s="29"/>
      <c r="S159" s="28"/>
      <c r="U159" s="33" t="s">
        <v>693</v>
      </c>
      <c r="V159" s="34"/>
      <c r="W159" s="28"/>
      <c r="Y159" s="27" t="s">
        <v>694</v>
      </c>
      <c r="Z159" s="29"/>
      <c r="AA159" s="28"/>
      <c r="AC159" s="27" t="s">
        <v>695</v>
      </c>
      <c r="AD159" s="29"/>
      <c r="AE159" s="28"/>
      <c r="AG159" s="27" t="s">
        <v>521</v>
      </c>
      <c r="AH159" s="29"/>
      <c r="AI159" s="28"/>
      <c r="AK159" s="27" t="s">
        <v>696</v>
      </c>
      <c r="AL159" s="29"/>
      <c r="AM159" s="28"/>
      <c r="AO159" s="30" t="s">
        <v>697</v>
      </c>
      <c r="AP159" s="30"/>
      <c r="AQ159" s="30"/>
      <c r="AS159" s="30" t="s">
        <v>698</v>
      </c>
      <c r="AT159" s="30"/>
      <c r="AU159" s="30"/>
      <c r="AW159" s="27" t="s">
        <v>699</v>
      </c>
      <c r="AX159" s="29"/>
      <c r="AY159" s="28"/>
    </row>
    <row r="160" spans="1:51">
      <c r="A160" s="37" t="s">
        <v>165</v>
      </c>
      <c r="B160" s="33"/>
      <c r="C160" s="19">
        <f>C19*(C17*AZ100+ C18*AZ103)</f>
        <v>1285.2003684954216</v>
      </c>
      <c r="E160" s="30" t="s">
        <v>700</v>
      </c>
      <c r="F160" s="27"/>
      <c r="G160" s="18">
        <f>C19*(C17*C155 + C18*C160)</f>
        <v>1245.0538090414773</v>
      </c>
      <c r="I160" s="30" t="s">
        <v>701</v>
      </c>
      <c r="J160" s="30"/>
      <c r="K160" s="18">
        <f>C19*(C17*G150 + C18*G155)</f>
        <v>1121.0624966546941</v>
      </c>
      <c r="M160" s="30" t="s">
        <v>310</v>
      </c>
      <c r="N160" s="27"/>
      <c r="O160" s="18">
        <f>C19*(C17*K150 + C18*K155)</f>
        <v>989.9977291888091</v>
      </c>
      <c r="Q160" s="27" t="s">
        <v>310</v>
      </c>
      <c r="R160" s="28"/>
      <c r="S160" s="18">
        <f>C19*(C17*O150 + C18*O155)</f>
        <v>851.45413747622399</v>
      </c>
      <c r="U160" s="30" t="s">
        <v>310</v>
      </c>
      <c r="V160" s="30"/>
      <c r="W160" s="25">
        <f>C19*(C17*S150 + C18*S155)</f>
        <v>705.00312155177983</v>
      </c>
      <c r="Y160" s="27" t="s">
        <v>310</v>
      </c>
      <c r="Z160" s="28"/>
      <c r="AA160" s="18">
        <f>C19*(C17*W150 + C18*W155)</f>
        <v>550.19151934781371</v>
      </c>
      <c r="AC160" s="27" t="s">
        <v>310</v>
      </c>
      <c r="AD160" s="28"/>
      <c r="AE160" s="18">
        <f>C19*(C17*AA150 + C18*AA155)</f>
        <v>386.54019909511749</v>
      </c>
      <c r="AG160" s="27" t="s">
        <v>310</v>
      </c>
      <c r="AH160" s="28"/>
      <c r="AI160" s="18">
        <f>C19*(C17*AE150 + C18*AE155)</f>
        <v>213.54257105754738</v>
      </c>
      <c r="AK160" s="27" t="s">
        <v>310</v>
      </c>
      <c r="AL160" s="28"/>
      <c r="AM160" s="18">
        <f>C19*(C17*AI150 + C18*AI155)</f>
        <v>30.6630139774804</v>
      </c>
      <c r="AO160" s="27" t="s">
        <v>310</v>
      </c>
      <c r="AP160" s="28"/>
      <c r="AQ160" s="24">
        <f>C19*(C17*AM150 + C18*AM155)</f>
        <v>-162.66478865561322</v>
      </c>
      <c r="AS160" s="30" t="s">
        <v>310</v>
      </c>
      <c r="AT160" s="30"/>
      <c r="AU160" s="18">
        <f>C19*(C17*AQ150 + C18*AQ155)</f>
        <v>-367.0396076813164</v>
      </c>
      <c r="AW160" s="27" t="s">
        <v>310</v>
      </c>
      <c r="AX160" s="28"/>
      <c r="AY160" s="18">
        <f>C19*(C17*AU150 + C18*AU155)</f>
        <v>-546.91819310107724</v>
      </c>
    </row>
    <row r="161" spans="1:59">
      <c r="A161" s="37" t="s">
        <v>166</v>
      </c>
      <c r="B161" s="33"/>
      <c r="C161" s="19">
        <f xml:space="preserve"> IF(G3 = "call",MAX(AW100- C4),MAX(C4 - AW100))</f>
        <v>1285.6821305088124</v>
      </c>
      <c r="E161" s="38" t="s">
        <v>702</v>
      </c>
      <c r="F161" s="39"/>
      <c r="G161" s="18">
        <f xml:space="preserve"> IF(G3 = "call",MAX(AU97 - C4),MAX(C4 - AU97))</f>
        <v>1246.0142849985955</v>
      </c>
      <c r="I161" s="30" t="s">
        <v>703</v>
      </c>
      <c r="J161" s="30"/>
      <c r="K161" s="18">
        <f xml:space="preserve"> IF(G3 = "call",MAX(AS91 - C4),MAX(C4 - AS91))</f>
        <v>1122.4892572762628</v>
      </c>
      <c r="M161" s="30" t="s">
        <v>546</v>
      </c>
      <c r="N161" s="27"/>
      <c r="O161" s="18">
        <f xml:space="preserve"> IF(G3 = "call",MAX(AQ85 - C4),MAX(C4 - AQ85))</f>
        <v>991.88041633848525</v>
      </c>
      <c r="Q161" s="27" t="s">
        <v>313</v>
      </c>
      <c r="R161" s="28"/>
      <c r="S161" s="18">
        <f xml:space="preserve"> IF(G3 = "call",MAX(AO79 - C4),MAX(C4 - AO79))</f>
        <v>853.78152540397014</v>
      </c>
      <c r="U161" s="31" t="s">
        <v>313</v>
      </c>
      <c r="V161" s="32"/>
      <c r="W161" s="18">
        <f xml:space="preserve"> IF(G3 = "call",MAX(AM73 - C4),MAX(C4 - AM73))</f>
        <v>757.34334252692133</v>
      </c>
      <c r="Y161" s="27" t="s">
        <v>313</v>
      </c>
      <c r="Z161" s="28"/>
      <c r="AA161" s="18">
        <f xml:space="preserve"> IF(G3 = "call",MAX(AK67 - C4),MAX(C4 - AK67))</f>
        <v>553.37082773947213</v>
      </c>
      <c r="AC161" s="27" t="s">
        <v>313</v>
      </c>
      <c r="AD161" s="28"/>
      <c r="AE161" s="18">
        <f>IF(G3 = "call",MAX(AI61 - C4),MAX(C4 - AI61))</f>
        <v>390.12464417856791</v>
      </c>
      <c r="AG161" s="27" t="s">
        <v>313</v>
      </c>
      <c r="AH161" s="28"/>
      <c r="AI161" s="18">
        <f xml:space="preserve"> IF(G3 = "call",MAX(AG55 - C4),MAX(C4 - AG55))</f>
        <v>217.51675073746947</v>
      </c>
      <c r="AK161" s="27" t="s">
        <v>313</v>
      </c>
      <c r="AL161" s="28"/>
      <c r="AM161" s="18">
        <f xml:space="preserve"> IF(G3 = "call",MAX(AE49 - C4),MAX(C4 - AE49))</f>
        <v>35.01027966240008</v>
      </c>
      <c r="AO161" s="27" t="s">
        <v>313</v>
      </c>
      <c r="AP161" s="28"/>
      <c r="AQ161" s="18">
        <f xml:space="preserve"> IF(G3 = "call",MAX(AC43 - C4),MAX(C4 - AC43))</f>
        <v>-157.96242465741352</v>
      </c>
      <c r="AS161" s="30" t="s">
        <v>313</v>
      </c>
      <c r="AT161" s="30"/>
      <c r="AU161" s="18">
        <f xml:space="preserve"> IF(G3 = "call",MAX(AA37 - C4),MAX(C4 - AA37))</f>
        <v>-362.00157128682486</v>
      </c>
      <c r="AW161" s="27" t="s">
        <v>313</v>
      </c>
      <c r="AX161" s="28"/>
      <c r="AY161" s="18">
        <f xml:space="preserve"> IF(G3 = "call",MAX(Y31 - C4),MAX(C4 - Y31))</f>
        <v>-577.74178959387336</v>
      </c>
    </row>
    <row r="162" spans="1:59">
      <c r="A162" s="30" t="s">
        <v>167</v>
      </c>
      <c r="B162" s="27"/>
      <c r="C162" s="18">
        <f>MAX(C160,C161)</f>
        <v>1285.6821305088124</v>
      </c>
      <c r="E162" s="30" t="s">
        <v>704</v>
      </c>
      <c r="F162" s="27"/>
      <c r="G162" s="18">
        <f>MAX(G160,G161)</f>
        <v>1246.0142849985955</v>
      </c>
      <c r="I162" s="30" t="s">
        <v>705</v>
      </c>
      <c r="J162" s="30"/>
      <c r="K162" s="18">
        <f>MAX(K160,K161)</f>
        <v>1122.4892572762628</v>
      </c>
      <c r="M162" s="30" t="s">
        <v>706</v>
      </c>
      <c r="N162" s="27"/>
      <c r="O162" s="18">
        <f>MAX(O160,O161)</f>
        <v>991.88041633848525</v>
      </c>
      <c r="Q162" s="27" t="s">
        <v>707</v>
      </c>
      <c r="R162" s="28"/>
      <c r="S162" s="18">
        <f>MAX(S160,S161)</f>
        <v>853.78152540397014</v>
      </c>
      <c r="U162" s="27" t="s">
        <v>708</v>
      </c>
      <c r="V162" s="28"/>
      <c r="W162" s="18">
        <f>MAX(W160,W161)</f>
        <v>757.34334252692133</v>
      </c>
      <c r="Y162" s="27" t="s">
        <v>709</v>
      </c>
      <c r="Z162" s="28"/>
      <c r="AA162" s="18">
        <f>MAX(AA160,AA161)</f>
        <v>553.37082773947213</v>
      </c>
      <c r="AC162" s="27" t="s">
        <v>710</v>
      </c>
      <c r="AD162" s="28"/>
      <c r="AE162" s="18">
        <f>MAX(AE160,AE161)</f>
        <v>390.12464417856791</v>
      </c>
      <c r="AG162" s="27" t="s">
        <v>533</v>
      </c>
      <c r="AH162" s="28"/>
      <c r="AI162" s="18">
        <f>MAX(AI160,AI161)</f>
        <v>217.51675073746947</v>
      </c>
      <c r="AK162" s="27" t="s">
        <v>711</v>
      </c>
      <c r="AL162" s="28"/>
      <c r="AM162" s="18">
        <f>MAX(AM160,AM161)</f>
        <v>35.01027966240008</v>
      </c>
      <c r="AO162" s="27" t="s">
        <v>712</v>
      </c>
      <c r="AP162" s="28"/>
      <c r="AQ162" s="18">
        <f>MAX(AQ160,AQ161)</f>
        <v>-157.96242465741352</v>
      </c>
      <c r="AS162" s="30" t="s">
        <v>713</v>
      </c>
      <c r="AT162" s="30"/>
      <c r="AU162" s="18">
        <f>MAX(AU160,AU161)</f>
        <v>-362.00157128682486</v>
      </c>
      <c r="AW162" s="27" t="s">
        <v>714</v>
      </c>
      <c r="AX162" s="28"/>
      <c r="AY162" s="18">
        <f>MAX(AY160,AY161)</f>
        <v>-546.91819310107724</v>
      </c>
      <c r="BA162" s="27" t="s">
        <v>715</v>
      </c>
      <c r="BB162" s="28"/>
    </row>
    <row r="164" spans="1:59">
      <c r="A164" s="79"/>
      <c r="B164" s="79"/>
      <c r="C164" s="79"/>
      <c r="I164" s="30" t="s">
        <v>244</v>
      </c>
      <c r="J164" s="30"/>
      <c r="K164" s="30"/>
      <c r="M164" s="33" t="s">
        <v>307</v>
      </c>
      <c r="N164" s="34"/>
      <c r="O164" s="36"/>
      <c r="Q164" s="27" t="s">
        <v>716</v>
      </c>
      <c r="R164" s="29"/>
      <c r="S164" s="28"/>
      <c r="U164" s="33" t="s">
        <v>717</v>
      </c>
      <c r="V164" s="34"/>
      <c r="W164" s="28"/>
      <c r="Y164" s="27" t="s">
        <v>718</v>
      </c>
      <c r="Z164" s="29"/>
      <c r="AA164" s="28"/>
      <c r="AC164" s="27" t="s">
        <v>719</v>
      </c>
      <c r="AD164" s="29"/>
      <c r="AE164" s="28"/>
      <c r="AG164" s="27" t="s">
        <v>521</v>
      </c>
      <c r="AH164" s="29"/>
      <c r="AI164" s="28"/>
      <c r="AK164" s="27" t="s">
        <v>720</v>
      </c>
      <c r="AL164" s="29"/>
      <c r="AM164" s="28"/>
      <c r="AO164" s="30" t="s">
        <v>721</v>
      </c>
      <c r="AP164" s="30"/>
      <c r="AQ164" s="30"/>
      <c r="AS164" s="30" t="s">
        <v>722</v>
      </c>
      <c r="AT164" s="30"/>
      <c r="AU164" s="30"/>
      <c r="AW164" s="27" t="s">
        <v>723</v>
      </c>
      <c r="AX164" s="29"/>
      <c r="AY164" s="28"/>
      <c r="BA164" s="27" t="s">
        <v>724</v>
      </c>
      <c r="BB164" s="29"/>
      <c r="BC164" s="28"/>
    </row>
    <row r="165" spans="1:59">
      <c r="A165" s="79"/>
      <c r="B165" s="79"/>
      <c r="C165" s="78"/>
      <c r="I165" s="30" t="s">
        <v>725</v>
      </c>
      <c r="J165" s="30"/>
      <c r="K165" s="18">
        <f>C19*(C17*G160 + C18*G165)</f>
        <v>620.91271289596489</v>
      </c>
      <c r="M165" s="30" t="s">
        <v>310</v>
      </c>
      <c r="N165" s="27"/>
      <c r="O165" s="18">
        <f>C19*(C17*K155 + C18*K160)</f>
        <v>1077.8638678349687</v>
      </c>
      <c r="Q165" s="27" t="s">
        <v>310</v>
      </c>
      <c r="R165" s="28"/>
      <c r="S165" s="18">
        <f>C19*(C17*O155 + C18*O160)</f>
        <v>944.35568759300793</v>
      </c>
      <c r="U165" s="30" t="s">
        <v>310</v>
      </c>
      <c r="V165" s="30"/>
      <c r="W165" s="25">
        <f>C19*(C17*S155 + C18*S160)</f>
        <v>803.22865128465514</v>
      </c>
      <c r="Y165" s="27" t="s">
        <v>310</v>
      </c>
      <c r="Z165" s="28"/>
      <c r="AA165" s="18">
        <f>C19*(C17*W155 + C18*W160)</f>
        <v>654.04613403589428</v>
      </c>
      <c r="AC165" s="27" t="s">
        <v>310</v>
      </c>
      <c r="AD165" s="28"/>
      <c r="AE165" s="18">
        <f>C19*(C17*AA155 + C18*AA160)</f>
        <v>496.34648898066598</v>
      </c>
      <c r="AG165" s="27" t="s">
        <v>310</v>
      </c>
      <c r="AH165" s="28"/>
      <c r="AI165" s="18">
        <f>C19*(C17*AE155 + C18*AE160)</f>
        <v>329.64161330658612</v>
      </c>
      <c r="AK165" s="27" t="s">
        <v>310</v>
      </c>
      <c r="AL165" s="28"/>
      <c r="AM165" s="18">
        <f>C19*(C17*AI155 + C18*AI160)</f>
        <v>153.415432123957</v>
      </c>
      <c r="AO165" s="27" t="s">
        <v>310</v>
      </c>
      <c r="AP165" s="28"/>
      <c r="AQ165" s="24">
        <f>C19*(C17*AM155 + C18*AM160)</f>
        <v>-32.877704551289213</v>
      </c>
      <c r="AS165" s="30" t="s">
        <v>310</v>
      </c>
      <c r="AT165" s="30"/>
      <c r="AU165" s="18">
        <f>C19*(C17*AQ155 + C18*AQ160)</f>
        <v>-229.8147166799624</v>
      </c>
      <c r="AW165" s="27" t="s">
        <v>310</v>
      </c>
      <c r="AX165" s="28"/>
      <c r="AY165" s="18">
        <f>C19*(C17*AU155 + C18*AU160)</f>
        <v>-438.00558621189555</v>
      </c>
      <c r="BA165" s="27" t="s">
        <v>310</v>
      </c>
      <c r="BB165" s="28"/>
      <c r="BC165" s="18">
        <f>C19*(C17*AY155 + C18*AY160)</f>
        <v>-603.70793800613342</v>
      </c>
    </row>
    <row r="166" spans="1:59">
      <c r="A166" s="79"/>
      <c r="B166" s="79"/>
      <c r="C166" s="78"/>
      <c r="I166" s="30" t="s">
        <v>726</v>
      </c>
      <c r="J166" s="30"/>
      <c r="K166" s="18">
        <f xml:space="preserve"> IF(G3 = "call",MAX(AS94 - C4),MAX(C4 - AS94))</f>
        <v>1205.6022098764897</v>
      </c>
      <c r="M166" s="30" t="s">
        <v>313</v>
      </c>
      <c r="N166" s="27"/>
      <c r="O166" s="18">
        <f xml:space="preserve"> IF(G3 = "call",MAX(AQ88 - C4),MAX(C4 - AQ88))</f>
        <v>1079.7596632100849</v>
      </c>
      <c r="Q166" s="27" t="s">
        <v>313</v>
      </c>
      <c r="R166" s="28"/>
      <c r="S166" s="18">
        <f xml:space="preserve"> IF(G3 = "call",MAX(AO82 - C4),MAX(C4 - AO82))</f>
        <v>946.7004001293808</v>
      </c>
      <c r="U166" s="31" t="s">
        <v>313</v>
      </c>
      <c r="V166" s="32"/>
      <c r="W166" s="18">
        <f xml:space="preserve"> IF(G3 = "call",MAX(AM76 - C4),MAX(C4 - AM76))</f>
        <v>853.78152540397014</v>
      </c>
      <c r="Y166" s="27" t="s">
        <v>313</v>
      </c>
      <c r="Z166" s="28"/>
      <c r="AA166" s="18">
        <f xml:space="preserve"> IF(G3 = "call",MAX(AK70 - C4),MAX(C4 - AK70))</f>
        <v>657.2525574833976</v>
      </c>
      <c r="AC166" s="27" t="s">
        <v>313</v>
      </c>
      <c r="AD166" s="28"/>
      <c r="AE166" s="18">
        <f>IF(G3 = "call",MAX(AI64 - C4),MAX(C4 - AI64))</f>
        <v>499.96369919958033</v>
      </c>
      <c r="AG166" s="27" t="s">
        <v>313</v>
      </c>
      <c r="AH166" s="28"/>
      <c r="AI166" s="18">
        <f xml:space="preserve"> IF(G3 = "call",MAX(AG58 - C4),MAX(C4 - AG58))</f>
        <v>333.65476689920479</v>
      </c>
      <c r="AK166" s="27" t="s">
        <v>313</v>
      </c>
      <c r="AL166" s="28"/>
      <c r="AM166" s="18">
        <f xml:space="preserve"> IF(G3 = "call",MAX(AE52 - C4),MAX(C4 - AE52))</f>
        <v>157.80848468522299</v>
      </c>
      <c r="AO166" s="27" t="s">
        <v>313</v>
      </c>
      <c r="AP166" s="28"/>
      <c r="AQ166" s="18">
        <f xml:space="preserve"> IF(G3 = "call",MAX(AC46 - C4),MAX(C4 - AC46))</f>
        <v>-28.122087658479813</v>
      </c>
      <c r="AS166" s="30" t="s">
        <v>313</v>
      </c>
      <c r="AT166" s="30"/>
      <c r="AU166" s="18">
        <f xml:space="preserve"> IF(G3 = "call",MAX(AA40 - C4),MAX(C4 - AA40))</f>
        <v>-224.7152558324301</v>
      </c>
      <c r="AW166" s="27" t="s">
        <v>313</v>
      </c>
      <c r="AX166" s="28"/>
      <c r="AY166" s="18">
        <f xml:space="preserve"> IF(G3 = "call",MAX(Y34 - C4),MAX(C4 - Y34))</f>
        <v>-432.58248974394883</v>
      </c>
      <c r="BA166" s="27" t="s">
        <v>313</v>
      </c>
      <c r="BB166" s="28"/>
      <c r="BC166" s="18">
        <f xml:space="preserve"> IF(G3 = "call",MAX(W28 - C4),MAX(C4 - W28))</f>
        <v>-652.37032538121684</v>
      </c>
    </row>
    <row r="167" spans="1:59">
      <c r="A167" s="79"/>
      <c r="B167" s="79"/>
      <c r="C167" s="78"/>
      <c r="I167" s="30" t="s">
        <v>727</v>
      </c>
      <c r="J167" s="30"/>
      <c r="K167" s="18">
        <f>MAX(K165,K166)</f>
        <v>1205.6022098764897</v>
      </c>
      <c r="M167" s="30" t="s">
        <v>728</v>
      </c>
      <c r="N167" s="27"/>
      <c r="O167" s="18">
        <f>MAX(O165,O166)</f>
        <v>1079.7596632100849</v>
      </c>
      <c r="Q167" s="27" t="s">
        <v>729</v>
      </c>
      <c r="R167" s="28"/>
      <c r="S167" s="18">
        <f>MAX(S165,S166)</f>
        <v>946.7004001293808</v>
      </c>
      <c r="U167" s="27" t="s">
        <v>730</v>
      </c>
      <c r="V167" s="28"/>
      <c r="W167" s="18">
        <f>MAX(W165,W166)</f>
        <v>853.78152540397014</v>
      </c>
      <c r="Y167" s="27" t="s">
        <v>731</v>
      </c>
      <c r="Z167" s="28"/>
      <c r="AA167" s="18">
        <f>MAX(AA165,AA166)</f>
        <v>657.2525574833976</v>
      </c>
      <c r="AC167" s="27" t="s">
        <v>732</v>
      </c>
      <c r="AD167" s="28"/>
      <c r="AE167" s="18">
        <f>MAX(AE165,AE166)</f>
        <v>499.96369919958033</v>
      </c>
      <c r="AG167" s="27" t="s">
        <v>533</v>
      </c>
      <c r="AH167" s="28"/>
      <c r="AI167" s="18">
        <f>MAX(AI165,AI166)</f>
        <v>333.65476689920479</v>
      </c>
      <c r="AK167" s="27" t="s">
        <v>733</v>
      </c>
      <c r="AL167" s="28"/>
      <c r="AM167" s="18">
        <f>MAX(AM165,AM166)</f>
        <v>157.80848468522299</v>
      </c>
      <c r="AO167" s="27" t="s">
        <v>734</v>
      </c>
      <c r="AP167" s="28"/>
      <c r="AQ167" s="18">
        <f>MAX(AQ165,AQ166)</f>
        <v>-28.122087658479813</v>
      </c>
      <c r="AS167" s="30" t="s">
        <v>735</v>
      </c>
      <c r="AT167" s="30"/>
      <c r="AU167" s="18">
        <f>MAX(AU165,AU166)</f>
        <v>-224.7152558324301</v>
      </c>
      <c r="AW167" s="27" t="s">
        <v>736</v>
      </c>
      <c r="AX167" s="28"/>
      <c r="AY167" s="18">
        <f>MAX(AY165,AY166)</f>
        <v>-432.58248974394883</v>
      </c>
      <c r="BA167" s="27" t="s">
        <v>737</v>
      </c>
      <c r="BB167" s="28"/>
      <c r="BC167" s="18">
        <f>MAX(BC165,BC166)</f>
        <v>-603.70793800613342</v>
      </c>
    </row>
    <row r="168" spans="1:59">
      <c r="A168" s="78"/>
      <c r="B168" s="78"/>
      <c r="C168" s="78"/>
    </row>
    <row r="169" spans="1:59">
      <c r="M169" s="33" t="s">
        <v>307</v>
      </c>
      <c r="N169" s="34"/>
      <c r="O169" s="36"/>
      <c r="Q169" s="27" t="s">
        <v>738</v>
      </c>
      <c r="R169" s="29"/>
      <c r="S169" s="28"/>
      <c r="U169" s="33" t="s">
        <v>739</v>
      </c>
      <c r="V169" s="34"/>
      <c r="W169" s="28"/>
      <c r="Y169" s="27" t="s">
        <v>740</v>
      </c>
      <c r="Z169" s="29"/>
      <c r="AA169" s="28"/>
      <c r="AC169" s="27" t="s">
        <v>741</v>
      </c>
      <c r="AD169" s="29"/>
      <c r="AE169" s="28"/>
      <c r="AG169" s="27" t="s">
        <v>521</v>
      </c>
      <c r="AH169" s="29"/>
      <c r="AI169" s="28"/>
      <c r="AK169" s="27" t="s">
        <v>742</v>
      </c>
      <c r="AL169" s="29"/>
      <c r="AM169" s="28"/>
      <c r="AO169" s="30" t="s">
        <v>743</v>
      </c>
      <c r="AP169" s="30"/>
      <c r="AQ169" s="30"/>
      <c r="AS169" s="30" t="s">
        <v>744</v>
      </c>
      <c r="AT169" s="30"/>
      <c r="AU169" s="30"/>
      <c r="AW169" s="27" t="s">
        <v>745</v>
      </c>
      <c r="AX169" s="29"/>
      <c r="AY169" s="28"/>
      <c r="BA169" s="27" t="s">
        <v>746</v>
      </c>
      <c r="BB169" s="29"/>
      <c r="BC169" s="28"/>
    </row>
    <row r="170" spans="1:59">
      <c r="M170" s="30" t="s">
        <v>310</v>
      </c>
      <c r="N170" s="27"/>
      <c r="O170" s="18">
        <f>C19*(C17*K160 + C18*K165)</f>
        <v>870.23678944472954</v>
      </c>
      <c r="Q170" s="27" t="s">
        <v>310</v>
      </c>
      <c r="R170" s="28"/>
      <c r="S170" s="18">
        <f>C19*(C17*O160 + C18*O165)</f>
        <v>1033.8669915140222</v>
      </c>
      <c r="U170" s="30" t="s">
        <v>310</v>
      </c>
      <c r="V170" s="30"/>
      <c r="W170" s="25">
        <f>C19*(C17*S160 + C18*S165)</f>
        <v>897.86964741087115</v>
      </c>
      <c r="Y170" s="27" t="s">
        <v>310</v>
      </c>
      <c r="Z170" s="28"/>
      <c r="AA170" s="18">
        <f>C19*(C17*W160 + C18*W165)</f>
        <v>754.1107935303661</v>
      </c>
      <c r="AC170" s="27" t="s">
        <v>310</v>
      </c>
      <c r="AD170" s="28"/>
      <c r="AE170" s="18">
        <f>C19*(C17*AA160 + C18*AA165)</f>
        <v>602.14562983492169</v>
      </c>
      <c r="AG170" s="27" t="s">
        <v>310</v>
      </c>
      <c r="AH170" s="28"/>
      <c r="AI170" s="18">
        <f>C19*(C17*AE160 + C18*AE165)</f>
        <v>441.50386579460866</v>
      </c>
      <c r="AK170" s="27" t="s">
        <v>310</v>
      </c>
      <c r="AL170" s="28"/>
      <c r="AM170" s="18">
        <f>C19*(C17*AI160 + C18*AI165)</f>
        <v>271.68825958416966</v>
      </c>
      <c r="AO170" s="27" t="s">
        <v>310</v>
      </c>
      <c r="AP170" s="28"/>
      <c r="AQ170" s="24">
        <f>C19*(C17*AM160 + C18*AM165)</f>
        <v>92.17307356468892</v>
      </c>
      <c r="AS170" s="30" t="s">
        <v>310</v>
      </c>
      <c r="AT170" s="30"/>
      <c r="AU170" s="18">
        <f>C19*(C17*AQ160 + C18*AQ165)</f>
        <v>-97.597558747620084</v>
      </c>
      <c r="AW170" s="27" t="s">
        <v>310</v>
      </c>
      <c r="AX170" s="28"/>
      <c r="AY170" s="18">
        <f>C19*(C17*AU160 + C18*AU165)</f>
        <v>-298.21135929798641</v>
      </c>
      <c r="BA170" s="27" t="s">
        <v>310</v>
      </c>
      <c r="BB170" s="28"/>
      <c r="BC170" s="18">
        <f>C19*(C17*AY160 + C18*AY165)</f>
        <v>-492.24846555087362</v>
      </c>
    </row>
    <row r="171" spans="1:59">
      <c r="M171" s="30" t="s">
        <v>313</v>
      </c>
      <c r="N171" s="27"/>
      <c r="O171" s="18">
        <f xml:space="preserve"> IF(G3 = "call",MAX(AQ91 - C4),MAX(C4 - AQ91))</f>
        <v>1164.4319422537092</v>
      </c>
      <c r="Q171" s="27" t="s">
        <v>313</v>
      </c>
      <c r="R171" s="28"/>
      <c r="S171" s="18">
        <f xml:space="preserve"> IF(G3 = "call",MAX(AO85 - C4),MAX(C4 - AO85))</f>
        <v>1036.2283964339572</v>
      </c>
      <c r="U171" s="31" t="s">
        <v>313</v>
      </c>
      <c r="V171" s="32"/>
      <c r="W171" s="18">
        <f xml:space="preserve"> IF(G3 = "call",MAX(AM79 - C4),MAX(C4 - AM79))</f>
        <v>946.7004001293808</v>
      </c>
      <c r="Y171" s="27" t="s">
        <v>313</v>
      </c>
      <c r="Z171" s="28"/>
      <c r="AA171" s="18">
        <f xml:space="preserve"> IF(G3 = "call",MAX(AK73 - C4),MAX(C4 - AK73))</f>
        <v>757.34334252692133</v>
      </c>
      <c r="AC171" s="27" t="s">
        <v>313</v>
      </c>
      <c r="AD171" s="28"/>
      <c r="AE171" s="18">
        <f>IF(G3 = "call",MAX(AI67 - C4),MAX(C4 - AI67))</f>
        <v>605.79440949476384</v>
      </c>
      <c r="AG171" s="27" t="s">
        <v>313</v>
      </c>
      <c r="AH171" s="28"/>
      <c r="AI171" s="18">
        <f xml:space="preserve"> IF(G3 = "call",MAX(AG61 - C4),MAX(C4 - AG61))</f>
        <v>445.55457102915307</v>
      </c>
      <c r="AK171" s="27" t="s">
        <v>313</v>
      </c>
      <c r="AL171" s="28"/>
      <c r="AM171" s="18">
        <f xml:space="preserve"> IF(G3 = "call",MAX(AE52 - C4),MAX(C4 - AE52))</f>
        <v>157.80848468522299</v>
      </c>
      <c r="AO171" s="27" t="s">
        <v>313</v>
      </c>
      <c r="AP171" s="28"/>
      <c r="AQ171" s="18">
        <f xml:space="preserve"> IF(G3 = "call",MAX(AC49 - C4),MAX(C4 - AC49))</f>
        <v>96.979999999998654</v>
      </c>
      <c r="AS171" s="30" t="s">
        <v>313</v>
      </c>
      <c r="AT171" s="30"/>
      <c r="AU171" s="18">
        <f xml:space="preserve"> IF(G3 = "call",MAX(AA43 - C4),MAX(C4 - AA43))</f>
        <v>-15410.007856434124</v>
      </c>
      <c r="AW171" s="27" t="s">
        <v>313</v>
      </c>
      <c r="AX171" s="28"/>
      <c r="AY171" s="18">
        <f xml:space="preserve"> IF(G3 = "call",MAX(Y37 - C4),MAX(C4 - Y37))</f>
        <v>-292.7204724848757</v>
      </c>
      <c r="BA171" s="27" t="s">
        <v>313</v>
      </c>
      <c r="BB171" s="28"/>
      <c r="BC171" s="18">
        <f xml:space="preserve"> IF(G3 = "call",MAX(W31 - C4),MAX(C4 - W31))</f>
        <v>-504.48761446623575</v>
      </c>
    </row>
    <row r="172" spans="1:59">
      <c r="M172" s="30" t="s">
        <v>747</v>
      </c>
      <c r="N172" s="27"/>
      <c r="O172" s="18">
        <f>MAX(O170,O171)</f>
        <v>1164.4319422537092</v>
      </c>
      <c r="Q172" s="27" t="s">
        <v>748</v>
      </c>
      <c r="R172" s="28"/>
      <c r="S172" s="18">
        <f>MAX(S170,S171)</f>
        <v>1036.2283964339572</v>
      </c>
      <c r="U172" s="27" t="s">
        <v>749</v>
      </c>
      <c r="V172" s="28"/>
      <c r="W172" s="18">
        <f>MAX(W170,W171)</f>
        <v>946.7004001293808</v>
      </c>
      <c r="Y172" s="27" t="s">
        <v>750</v>
      </c>
      <c r="Z172" s="28"/>
      <c r="AA172" s="18">
        <f>MAX(AA170,AA171)</f>
        <v>757.34334252692133</v>
      </c>
      <c r="AC172" s="27" t="s">
        <v>751</v>
      </c>
      <c r="AD172" s="28"/>
      <c r="AE172" s="18">
        <f>MAX(AE170,AE171)</f>
        <v>605.79440949476384</v>
      </c>
      <c r="AG172" s="27" t="s">
        <v>533</v>
      </c>
      <c r="AH172" s="28"/>
      <c r="AI172" s="18">
        <f>MAX(AI170,AI171)</f>
        <v>445.55457102915307</v>
      </c>
      <c r="AK172" s="27" t="s">
        <v>752</v>
      </c>
      <c r="AL172" s="28"/>
      <c r="AM172" s="18">
        <f>MAX(AM170,AM171)</f>
        <v>271.68825958416966</v>
      </c>
      <c r="AO172" s="27" t="s">
        <v>753</v>
      </c>
      <c r="AP172" s="28"/>
      <c r="AQ172" s="18">
        <f>MAX(AQ170,AQ171)</f>
        <v>96.979999999998654</v>
      </c>
      <c r="AS172" s="30" t="s">
        <v>754</v>
      </c>
      <c r="AT172" s="30"/>
      <c r="AU172" s="18">
        <f>MAX(AU170,AU171)</f>
        <v>-97.597558747620084</v>
      </c>
      <c r="AW172" s="27" t="s">
        <v>755</v>
      </c>
      <c r="AX172" s="28"/>
      <c r="AY172" s="18">
        <f>MAX(AY170,AY171)</f>
        <v>-292.7204724848757</v>
      </c>
      <c r="BA172" s="27" t="s">
        <v>756</v>
      </c>
      <c r="BB172" s="28"/>
      <c r="BC172" s="18">
        <f>MAX(BC170,BC171)</f>
        <v>-492.24846555087362</v>
      </c>
      <c r="BE172" s="27" t="s">
        <v>757</v>
      </c>
      <c r="BF172" s="28"/>
    </row>
    <row r="174" spans="1:59">
      <c r="Q174" s="27" t="s">
        <v>758</v>
      </c>
      <c r="R174" s="29"/>
      <c r="S174" s="28"/>
      <c r="U174" s="33" t="s">
        <v>759</v>
      </c>
      <c r="V174" s="34"/>
      <c r="W174" s="28"/>
      <c r="Y174" s="27" t="s">
        <v>760</v>
      </c>
      <c r="Z174" s="29"/>
      <c r="AA174" s="28"/>
      <c r="AC174" s="27" t="s">
        <v>761</v>
      </c>
      <c r="AD174" s="29"/>
      <c r="AE174" s="28"/>
      <c r="AG174" s="27" t="s">
        <v>521</v>
      </c>
      <c r="AH174" s="29"/>
      <c r="AI174" s="28"/>
      <c r="AK174" s="27" t="s">
        <v>762</v>
      </c>
      <c r="AL174" s="29"/>
      <c r="AM174" s="28"/>
      <c r="AO174" s="30" t="s">
        <v>763</v>
      </c>
      <c r="AP174" s="30"/>
      <c r="AQ174" s="30"/>
      <c r="AS174" s="30" t="s">
        <v>764</v>
      </c>
      <c r="AT174" s="30"/>
      <c r="AU174" s="30"/>
      <c r="AW174" s="27" t="s">
        <v>765</v>
      </c>
      <c r="AX174" s="29"/>
      <c r="AY174" s="28"/>
      <c r="BA174" s="27" t="s">
        <v>766</v>
      </c>
      <c r="BB174" s="29"/>
      <c r="BC174" s="28"/>
      <c r="BE174" s="27" t="s">
        <v>767</v>
      </c>
      <c r="BF174" s="29"/>
      <c r="BG174" s="28"/>
    </row>
    <row r="175" spans="1:59">
      <c r="Q175" s="27" t="s">
        <v>310</v>
      </c>
      <c r="R175" s="28"/>
      <c r="S175" s="18">
        <f>C19*(C17*O165 + C18*O170)</f>
        <v>973.63765425341853</v>
      </c>
      <c r="U175" s="30" t="s">
        <v>310</v>
      </c>
      <c r="V175" s="30"/>
      <c r="W175" s="25">
        <f>C19*(C17*S165 + C18*S170)</f>
        <v>989.05691992669097</v>
      </c>
      <c r="Y175" s="27" t="s">
        <v>310</v>
      </c>
      <c r="Z175" s="28"/>
      <c r="AA175" s="18">
        <f>C19*(C17*W165 + C18*W170)</f>
        <v>850.5238042551922</v>
      </c>
      <c r="AC175" s="27" t="s">
        <v>310</v>
      </c>
      <c r="AD175" s="28"/>
      <c r="AE175" s="18">
        <f>C19*(C17*AA165 + C18*AA170)</f>
        <v>704.08385411301742</v>
      </c>
      <c r="AG175" s="27" t="s">
        <v>310</v>
      </c>
      <c r="AH175" s="28"/>
      <c r="AI175" s="18">
        <f>C19*(C17*AE165 + C18*AE170)</f>
        <v>549.28394123099952</v>
      </c>
      <c r="AK175" s="27" t="s">
        <v>310</v>
      </c>
      <c r="AL175" s="28"/>
      <c r="AM175" s="18">
        <f>C19*(C17*AI165 + C18*AI170)</f>
        <v>385.64496957534271</v>
      </c>
      <c r="AO175" s="27" t="s">
        <v>310</v>
      </c>
      <c r="AP175" s="28"/>
      <c r="AQ175" s="24">
        <f>C19*(C17*AM165 + C18*AM170)</f>
        <v>212.66038719323058</v>
      </c>
      <c r="AS175" s="30" t="s">
        <v>310</v>
      </c>
      <c r="AT175" s="30"/>
      <c r="AU175" s="18">
        <f>C19*(C17*AQ165 + C18*AQ170)</f>
        <v>29.794612775645756</v>
      </c>
      <c r="AW175" s="27" t="s">
        <v>310</v>
      </c>
      <c r="AX175" s="28"/>
      <c r="AY175" s="18">
        <f>C19*(C17*AU165 + C18*AU170)</f>
        <v>-163.51862794997137</v>
      </c>
      <c r="BA175" s="27" t="s">
        <v>310</v>
      </c>
      <c r="BB175" s="28"/>
      <c r="BC175" s="18">
        <f>C19*(C17*AY165 + C18*AY170)</f>
        <v>-367.87806116467038</v>
      </c>
      <c r="BE175" s="27" t="s">
        <v>310</v>
      </c>
      <c r="BF175" s="28"/>
      <c r="BG175" s="18">
        <f>C19*(C17*BC165 + C18*BC170)</f>
        <v>-547.75253184629776</v>
      </c>
    </row>
    <row r="176" spans="1:59">
      <c r="Q176" s="27" t="s">
        <v>313</v>
      </c>
      <c r="R176" s="28"/>
      <c r="S176" s="18">
        <f xml:space="preserve"> IF(G3 = "call",MAX(AO88 - C4),MAX(C4 - AO88))</f>
        <v>1122.4892572762624</v>
      </c>
      <c r="U176" s="31" t="s">
        <v>313</v>
      </c>
      <c r="V176" s="32"/>
      <c r="W176" s="18">
        <f xml:space="preserve"> IF(G3 = "call",MAX(AM82 - C4),MAX(C4 - AM82))</f>
        <v>991.8804163384857</v>
      </c>
      <c r="Y176" s="27" t="s">
        <v>313</v>
      </c>
      <c r="Z176" s="28"/>
      <c r="AA176" s="18">
        <f xml:space="preserve"> IF(G3 = "call",MAX(AK76 - C4),MAX(C4 - AK76))</f>
        <v>853.78152540397014</v>
      </c>
      <c r="AC176" s="27" t="s">
        <v>313</v>
      </c>
      <c r="AD176" s="28"/>
      <c r="AE176" s="18">
        <f>IF(G3 = "call",MAX(AI70 - C4),MAX(C4 - AI70))</f>
        <v>707.76305115360265</v>
      </c>
      <c r="AG176" s="27" t="s">
        <v>313</v>
      </c>
      <c r="AH176" s="28"/>
      <c r="AI176" s="18">
        <f xml:space="preserve"> IF(G3 = "call",MAX(AG64 - C4),MAX(C4 - AG64))</f>
        <v>553.37082773947259</v>
      </c>
      <c r="AK176" s="27" t="s">
        <v>313</v>
      </c>
      <c r="AL176" s="28"/>
      <c r="AM176" s="18">
        <f xml:space="preserve"> IF(G3 = "call",MAX(AE55 - C4),MAX(C4 - AE55))</f>
        <v>276.12542812626862</v>
      </c>
      <c r="AO176" s="27" t="s">
        <v>313</v>
      </c>
      <c r="AP176" s="28"/>
      <c r="AQ176" s="18">
        <f xml:space="preserve"> IF(G3 = "call",MAX(AC52 - C4),MAX(C4 - AC52))</f>
        <v>217.51675073746992</v>
      </c>
      <c r="AS176" s="30" t="s">
        <v>313</v>
      </c>
      <c r="AT176" s="30"/>
      <c r="AU176" s="18">
        <f xml:space="preserve"> IF(G3 = "call",MAX(AA46 - C4),MAX(C4 - AA46))</f>
        <v>35.010279662400535</v>
      </c>
      <c r="AW176" s="27" t="s">
        <v>313</v>
      </c>
      <c r="AX176" s="28"/>
      <c r="AY176" s="18">
        <f xml:space="preserve"> IF(G3 = "call",MAX(Y40 - C4),MAX(C4 - Y40))</f>
        <v>-157.96242465741352</v>
      </c>
      <c r="BA176" s="27" t="s">
        <v>313</v>
      </c>
      <c r="BB176" s="28"/>
      <c r="BC176" s="18">
        <f xml:space="preserve"> IF(G3 = "call",MAX(W34 - C4),MAX(C4 - W34))</f>
        <v>-362.00157128682395</v>
      </c>
      <c r="BE176" s="27" t="s">
        <v>768</v>
      </c>
      <c r="BF176" s="28"/>
      <c r="BG176" s="18">
        <f xml:space="preserve"> IF(G3 = "call",MAX(U28 - C4),MAX(C4 - U28))</f>
        <v>-577.74178959387336</v>
      </c>
    </row>
    <row r="177" spans="17:66">
      <c r="Q177" s="27" t="s">
        <v>769</v>
      </c>
      <c r="R177" s="28"/>
      <c r="S177" s="18">
        <f>MAX(S175,S176)</f>
        <v>1122.4892572762624</v>
      </c>
      <c r="U177" s="27" t="s">
        <v>770</v>
      </c>
      <c r="V177" s="28"/>
      <c r="W177" s="18">
        <f>MAX(W175,W176)</f>
        <v>991.8804163384857</v>
      </c>
      <c r="Y177" s="27" t="s">
        <v>771</v>
      </c>
      <c r="Z177" s="28"/>
      <c r="AA177" s="18">
        <f>MAX(AA175,AA176)</f>
        <v>853.78152540397014</v>
      </c>
      <c r="AC177" s="27" t="s">
        <v>772</v>
      </c>
      <c r="AD177" s="28"/>
      <c r="AE177" s="18">
        <f>MAX(AE175,AE176)</f>
        <v>707.76305115360265</v>
      </c>
      <c r="AG177" s="27" t="s">
        <v>533</v>
      </c>
      <c r="AH177" s="28"/>
      <c r="AI177" s="18">
        <f>MAX(AI175,AI176)</f>
        <v>553.37082773947259</v>
      </c>
      <c r="AK177" s="27" t="s">
        <v>773</v>
      </c>
      <c r="AL177" s="28"/>
      <c r="AM177" s="18">
        <f>MAX(AM175,AM176)</f>
        <v>385.64496957534271</v>
      </c>
      <c r="AO177" s="27" t="s">
        <v>774</v>
      </c>
      <c r="AP177" s="28"/>
      <c r="AQ177" s="18">
        <f>MAX(AQ175,AQ176)</f>
        <v>217.51675073746992</v>
      </c>
      <c r="AS177" s="30" t="s">
        <v>775</v>
      </c>
      <c r="AT177" s="30"/>
      <c r="AU177" s="18">
        <f>MAX(AU175,AU176)</f>
        <v>35.010279662400535</v>
      </c>
      <c r="AW177" s="27" t="s">
        <v>776</v>
      </c>
      <c r="AX177" s="28"/>
      <c r="AY177" s="18">
        <f>MAX(AY175,AY176)</f>
        <v>-157.96242465741352</v>
      </c>
      <c r="BA177" s="27" t="s">
        <v>777</v>
      </c>
      <c r="BB177" s="28"/>
      <c r="BC177" s="18">
        <f>MAX(BC175,BC176)</f>
        <v>-362.00157128682395</v>
      </c>
      <c r="BE177" s="27" t="s">
        <v>778</v>
      </c>
      <c r="BF177" s="28"/>
      <c r="BG177" s="18">
        <f>MAX(BG175,BG176)</f>
        <v>-547.75253184629776</v>
      </c>
    </row>
    <row r="179" spans="17:66">
      <c r="U179" s="33" t="s">
        <v>779</v>
      </c>
      <c r="V179" s="34"/>
      <c r="W179" s="28"/>
      <c r="Y179" s="27" t="s">
        <v>780</v>
      </c>
      <c r="Z179" s="29"/>
      <c r="AA179" s="28"/>
      <c r="AC179" s="27" t="s">
        <v>781</v>
      </c>
      <c r="AD179" s="29"/>
      <c r="AE179" s="28"/>
      <c r="AG179" s="27" t="s">
        <v>521</v>
      </c>
      <c r="AH179" s="29"/>
      <c r="AI179" s="28"/>
      <c r="AK179" s="27" t="s">
        <v>782</v>
      </c>
      <c r="AL179" s="29"/>
      <c r="AM179" s="28"/>
      <c r="AO179" s="30" t="s">
        <v>783</v>
      </c>
      <c r="AP179" s="30"/>
      <c r="AQ179" s="30"/>
      <c r="AS179" s="30" t="s">
        <v>784</v>
      </c>
      <c r="AT179" s="30"/>
      <c r="AU179" s="30"/>
      <c r="AW179" s="27" t="s">
        <v>785</v>
      </c>
      <c r="AX179" s="29"/>
      <c r="AY179" s="28"/>
      <c r="BA179" s="27" t="s">
        <v>786</v>
      </c>
      <c r="BB179" s="29"/>
      <c r="BC179" s="28"/>
      <c r="BE179" s="27" t="s">
        <v>787</v>
      </c>
      <c r="BF179" s="29"/>
      <c r="BG179" s="28"/>
    </row>
    <row r="180" spans="17:66">
      <c r="U180" s="30" t="s">
        <v>310</v>
      </c>
      <c r="V180" s="30"/>
      <c r="W180" s="25">
        <f>C19*(C17*S170 + C18*S175)</f>
        <v>1003.5136979347571</v>
      </c>
      <c r="Y180" s="27" t="s">
        <v>310</v>
      </c>
      <c r="Z180" s="28"/>
      <c r="AA180" s="18">
        <f>C19*(C17*W170 + C18*W175)</f>
        <v>943.41842543300163</v>
      </c>
      <c r="AC180" s="27" t="s">
        <v>310</v>
      </c>
      <c r="AD180" s="28"/>
      <c r="AE180" s="18">
        <f>C19*(C17*AA170 + C18*AA175)</f>
        <v>802.30205782495545</v>
      </c>
      <c r="AG180" s="27" t="s">
        <v>310</v>
      </c>
      <c r="AH180" s="28"/>
      <c r="AI180" s="18">
        <f>C19*(C17*AE170 + C18*AE175)</f>
        <v>653.13081006030302</v>
      </c>
      <c r="AK180" s="27" t="s">
        <v>310</v>
      </c>
      <c r="AL180" s="28"/>
      <c r="AM180" s="18">
        <f>C19*(C17*AI170 + C18*AI175)</f>
        <v>495.44306970430824</v>
      </c>
      <c r="AO180" s="27" t="s">
        <v>310</v>
      </c>
      <c r="AP180" s="28"/>
      <c r="AQ180" s="24">
        <f>C19*(C17*AM170 + C18*AM175)</f>
        <v>328.75077034909248</v>
      </c>
      <c r="AS180" s="30" t="s">
        <v>310</v>
      </c>
      <c r="AT180" s="30"/>
      <c r="AU180" s="18">
        <f>C19*(C17*AQ170 + C18*AQ175)</f>
        <v>152.53787559572328</v>
      </c>
      <c r="AW180" s="27" t="s">
        <v>310</v>
      </c>
      <c r="AX180" s="28"/>
      <c r="AY180" s="18">
        <f>C19*(C17*AU170 + C18*AU175)</f>
        <v>-33.741223843282462</v>
      </c>
      <c r="BA180" s="27" t="s">
        <v>310</v>
      </c>
      <c r="BB180" s="28"/>
      <c r="BC180" s="18">
        <f>C19*(C17*AY170 + C18*AY175)</f>
        <v>-230.66340489992015</v>
      </c>
      <c r="BE180" s="27" t="s">
        <v>310</v>
      </c>
      <c r="BF180" s="28"/>
      <c r="BG180" s="18">
        <f>C19*(C17*BC170 + C18*BC175)</f>
        <v>-429.84136147733994</v>
      </c>
    </row>
    <row r="181" spans="17:66">
      <c r="U181" s="31" t="s">
        <v>313</v>
      </c>
      <c r="V181" s="32"/>
      <c r="W181" s="18">
        <f xml:space="preserve"> IF(G3 = "call",MAX(AM85 - C4),MAX(C4 - AM85))</f>
        <v>1079.7596632100849</v>
      </c>
      <c r="Y181" s="27" t="s">
        <v>313</v>
      </c>
      <c r="Z181" s="28"/>
      <c r="AA181" s="18">
        <f xml:space="preserve"> IF(G3 = "call",MAX(AK79 - C4),MAX(C4 - AK79))</f>
        <v>946.7004001293808</v>
      </c>
      <c r="AC181" s="27" t="s">
        <v>313</v>
      </c>
      <c r="AD181" s="28"/>
      <c r="AE181" s="18">
        <f>IF(G3 = "call",MAX(AI73 - C4),MAX(C4 - AI73))</f>
        <v>806.01056222810666</v>
      </c>
      <c r="AG181" s="27" t="s">
        <v>313</v>
      </c>
      <c r="AH181" s="28"/>
      <c r="AI181" s="18">
        <f xml:space="preserve"> IF(G3 = "call",MAX(AG67 - C4),MAX(C4 - AG67))</f>
        <v>657.2525574833976</v>
      </c>
      <c r="AK181" s="27" t="s">
        <v>313</v>
      </c>
      <c r="AL181" s="28"/>
      <c r="AM181" s="18">
        <f xml:space="preserve"> IF(G3 = "call",MAX(AE58 - C4),MAX(C4 - AE58))</f>
        <v>390.12464417856836</v>
      </c>
      <c r="AO181" s="27" t="s">
        <v>313</v>
      </c>
      <c r="AP181" s="28"/>
      <c r="AQ181" s="18">
        <f xml:space="preserve"> IF(G3 = "call",MAX(AC55 - C4),MAX(C4 - AC55))</f>
        <v>333.65476689920479</v>
      </c>
      <c r="AS181" s="30" t="s">
        <v>313</v>
      </c>
      <c r="AT181" s="30"/>
      <c r="AU181" s="18">
        <f xml:space="preserve"> IF(G3 = "call",MAX(AA49 - C4),MAX(C4 - AA49))</f>
        <v>157.8084846852239</v>
      </c>
      <c r="AW181" s="27" t="s">
        <v>313</v>
      </c>
      <c r="AX181" s="28"/>
      <c r="AY181" s="18">
        <f xml:space="preserve"> IF(G3 = "call",MAX(Y43 - C4),MAX(C4 - Y43))</f>
        <v>-28.122087658480268</v>
      </c>
      <c r="BA181" s="27" t="s">
        <v>313</v>
      </c>
      <c r="BB181" s="28"/>
      <c r="BC181" s="18">
        <f xml:space="preserve"> IF(G3 = "call",MAX(W37 - C4),MAX(C4 - W37))</f>
        <v>-224.7152558324301</v>
      </c>
      <c r="BE181" s="27" t="s">
        <v>768</v>
      </c>
      <c r="BF181" s="28"/>
      <c r="BG181" s="18">
        <f xml:space="preserve"> IF(G3 = "call",MAX(U31 - C4),MAX(C4 - U31))</f>
        <v>-432.58248974394837</v>
      </c>
    </row>
    <row r="182" spans="17:66">
      <c r="U182" s="27" t="s">
        <v>788</v>
      </c>
      <c r="V182" s="28"/>
      <c r="W182" s="18">
        <f>MAX(W180,W181)</f>
        <v>1079.7596632100849</v>
      </c>
      <c r="Y182" s="27" t="s">
        <v>789</v>
      </c>
      <c r="Z182" s="28"/>
      <c r="AA182" s="18">
        <f>MAX(AA180,AA181)</f>
        <v>946.7004001293808</v>
      </c>
      <c r="AC182" s="27" t="s">
        <v>790</v>
      </c>
      <c r="AD182" s="28"/>
      <c r="AE182" s="18">
        <f>MAX(AE180,AE181)</f>
        <v>806.01056222810666</v>
      </c>
      <c r="AG182" s="27" t="s">
        <v>533</v>
      </c>
      <c r="AH182" s="28"/>
      <c r="AI182" s="18">
        <f>MAX(AI180,AI181)</f>
        <v>657.2525574833976</v>
      </c>
      <c r="AK182" s="27" t="s">
        <v>791</v>
      </c>
      <c r="AL182" s="28"/>
      <c r="AM182" s="18">
        <f>MAX(AM180,AM181)</f>
        <v>495.44306970430824</v>
      </c>
      <c r="AO182" s="27" t="s">
        <v>792</v>
      </c>
      <c r="AP182" s="28"/>
      <c r="AQ182" s="18">
        <f>MAX(AQ180,AQ181)</f>
        <v>333.65476689920479</v>
      </c>
      <c r="AS182" s="30" t="s">
        <v>793</v>
      </c>
      <c r="AT182" s="30"/>
      <c r="AU182" s="18">
        <f>MAX(AU180,AU181)</f>
        <v>157.8084846852239</v>
      </c>
      <c r="AW182" s="27" t="s">
        <v>794</v>
      </c>
      <c r="AX182" s="28"/>
      <c r="AY182" s="18">
        <f>MAX(AY180,AY181)</f>
        <v>-28.122087658480268</v>
      </c>
      <c r="BA182" s="27" t="s">
        <v>795</v>
      </c>
      <c r="BB182" s="28"/>
      <c r="BC182" s="18">
        <f>MAX(BC180,BC181)</f>
        <v>-224.7152558324301</v>
      </c>
      <c r="BE182" s="27" t="s">
        <v>796</v>
      </c>
      <c r="BF182" s="28"/>
      <c r="BG182" s="18">
        <f>MAX(BG180,BG181)</f>
        <v>-429.84136147733994</v>
      </c>
      <c r="BI182" s="30" t="s">
        <v>797</v>
      </c>
      <c r="BJ182" s="30"/>
    </row>
    <row r="184" spans="17:66">
      <c r="Y184" s="27" t="s">
        <v>798</v>
      </c>
      <c r="Z184" s="29"/>
      <c r="AA184" s="28"/>
      <c r="AC184" s="27" t="s">
        <v>799</v>
      </c>
      <c r="AD184" s="29"/>
      <c r="AE184" s="28"/>
      <c r="AG184" s="27" t="s">
        <v>521</v>
      </c>
      <c r="AH184" s="29"/>
      <c r="AI184" s="28"/>
      <c r="AK184" s="27" t="s">
        <v>800</v>
      </c>
      <c r="AL184" s="29"/>
      <c r="AM184" s="28"/>
      <c r="AO184" s="30" t="s">
        <v>801</v>
      </c>
      <c r="AP184" s="30"/>
      <c r="AQ184" s="30"/>
      <c r="AS184" s="30" t="s">
        <v>802</v>
      </c>
      <c r="AT184" s="30"/>
      <c r="AU184" s="30"/>
      <c r="AW184" s="27" t="s">
        <v>803</v>
      </c>
      <c r="AX184" s="29"/>
      <c r="AY184" s="28"/>
      <c r="BA184" s="27" t="s">
        <v>804</v>
      </c>
      <c r="BB184" s="29"/>
      <c r="BC184" s="28"/>
      <c r="BE184" s="27" t="s">
        <v>805</v>
      </c>
      <c r="BF184" s="29"/>
      <c r="BG184" s="28"/>
      <c r="BI184" s="27" t="s">
        <v>806</v>
      </c>
      <c r="BJ184" s="29"/>
      <c r="BK184" s="28"/>
    </row>
    <row r="185" spans="17:66">
      <c r="Y185" s="27" t="s">
        <v>310</v>
      </c>
      <c r="Z185" s="28"/>
      <c r="AA185" s="18">
        <f>C19*(C17*W175 + C18*W180)</f>
        <v>996.13858716944833</v>
      </c>
      <c r="AC185" s="27" t="s">
        <v>310</v>
      </c>
      <c r="AD185" s="28"/>
      <c r="AE185" s="18">
        <f>C19*(C17*AA175 + C18*AA180)</f>
        <v>896.93599527792207</v>
      </c>
      <c r="AG185" s="27" t="s">
        <v>310</v>
      </c>
      <c r="AH185" s="28"/>
      <c r="AI185" s="18">
        <f>C19*(C17*AE175 + C18*AE180)</f>
        <v>753.18800636478215</v>
      </c>
      <c r="AK185" s="27" t="s">
        <v>310</v>
      </c>
      <c r="AL185" s="28"/>
      <c r="AM185" s="18">
        <f>C19*(C17*AI175 + C18*AI180)</f>
        <v>601.23431966988016</v>
      </c>
      <c r="AO185" s="27" t="s">
        <v>310</v>
      </c>
      <c r="AP185" s="28"/>
      <c r="AQ185" s="24">
        <f>C19*(C17*AM175 + C18*AM180)</f>
        <v>440.60467973928667</v>
      </c>
      <c r="AS185" s="30" t="s">
        <v>310</v>
      </c>
      <c r="AT185" s="30"/>
      <c r="AU185" s="18">
        <f>C19*(C17*AQ175 + C18*AQ180)</f>
        <v>270.80188183387048</v>
      </c>
      <c r="AW185" s="27" t="s">
        <v>310</v>
      </c>
      <c r="AX185" s="28"/>
      <c r="AY185" s="18">
        <f>C19*(C17*AU175 + C18*AU180)</f>
        <v>91.300227526164747</v>
      </c>
      <c r="BA185" s="27" t="s">
        <v>310</v>
      </c>
      <c r="BB185" s="28"/>
      <c r="BC185" s="18">
        <f>C19*(C17*AY175 + C18*AY180)</f>
        <v>-98.45610820904831</v>
      </c>
      <c r="BE185" s="27" t="s">
        <v>310</v>
      </c>
      <c r="BF185" s="28"/>
      <c r="BG185" s="18">
        <f>C19*(C17*BC175 + C18*BC180)</f>
        <v>-299.05480348253167</v>
      </c>
      <c r="BI185" s="27" t="s">
        <v>310</v>
      </c>
      <c r="BJ185" s="28"/>
      <c r="BK185" s="18">
        <f>C19*(C17*BG175 + C18*BG180)</f>
        <v>-488.57320222909186</v>
      </c>
    </row>
    <row r="186" spans="17:66">
      <c r="Y186" s="27" t="s">
        <v>313</v>
      </c>
      <c r="Z186" s="28"/>
      <c r="AA186" s="18">
        <f xml:space="preserve"> IF(G3 = "call",MAX(AK82 - C4),MAX(C4 - AK82))</f>
        <v>1036.2283964339572</v>
      </c>
      <c r="AC186" s="27" t="s">
        <v>313</v>
      </c>
      <c r="AD186" s="28"/>
      <c r="AE186" s="18">
        <f>IF(G3 = "call",MAX(AI76 - C4),MAX(C4 - AI76))</f>
        <v>900.67273753323434</v>
      </c>
      <c r="AG186" s="27" t="s">
        <v>313</v>
      </c>
      <c r="AH186" s="28"/>
      <c r="AI186" s="18">
        <f xml:space="preserve"> IF(G3 = "call",MAX(AG73 - C4),MAX(C4 - AG73))</f>
        <v>853.78152540397059</v>
      </c>
      <c r="AK186" s="27" t="s">
        <v>313</v>
      </c>
      <c r="AL186" s="28"/>
      <c r="AM186" s="18">
        <f xml:space="preserve"> IF(G3 = "call",MAX(AE61 - C4),MAX(C4 - AE61))</f>
        <v>499.96369919958079</v>
      </c>
      <c r="AO186" s="27" t="s">
        <v>313</v>
      </c>
      <c r="AP186" s="28"/>
      <c r="AQ186" s="18">
        <f xml:space="preserve"> IF(G3 = "call",MAX(AC58 - C4),MAX(C4 - AC58))</f>
        <v>445.55457102915352</v>
      </c>
      <c r="AS186" s="30" t="s">
        <v>313</v>
      </c>
      <c r="AT186" s="30"/>
      <c r="AU186" s="18">
        <f xml:space="preserve"> IF(G3 = "call",MAX(AA52 - C4),MAX(C4 - AA52))</f>
        <v>276.12542812626816</v>
      </c>
      <c r="AW186" s="27" t="s">
        <v>313</v>
      </c>
      <c r="AX186" s="28"/>
      <c r="AY186" s="18">
        <f xml:space="preserve"> IF(G3 = "call",MAX(Y46 - C4),MAX(C4 - Y46))</f>
        <v>96.979999999999109</v>
      </c>
      <c r="BA186" s="27" t="s">
        <v>313</v>
      </c>
      <c r="BB186" s="28"/>
      <c r="BC186" s="18">
        <f xml:space="preserve"> IF(G3 = "call",MAX(W40 - C4),MAX(C4 - W40))</f>
        <v>-92.438915002952399</v>
      </c>
      <c r="BE186" s="27" t="s">
        <v>768</v>
      </c>
      <c r="BF186" s="28"/>
      <c r="BG186" s="18">
        <f xml:space="preserve"> IF(G3 = "call",MAX(U34 - C4),MAX(C4 - U34))</f>
        <v>-292.7204724848757</v>
      </c>
      <c r="BI186" s="27" t="s">
        <v>768</v>
      </c>
      <c r="BJ186" s="28"/>
      <c r="BK186" s="18">
        <f xml:space="preserve"> IF(G3 = "call",MAX(S28 - C4),MAX(C4 - S28))</f>
        <v>-504.4876144662353</v>
      </c>
    </row>
    <row r="187" spans="17:66">
      <c r="Y187" s="27" t="s">
        <v>807</v>
      </c>
      <c r="Z187" s="28"/>
      <c r="AA187" s="18">
        <f>MAX(AA185,AA186)</f>
        <v>1036.2283964339572</v>
      </c>
      <c r="AC187" s="27" t="s">
        <v>808</v>
      </c>
      <c r="AD187" s="28"/>
      <c r="AE187" s="18">
        <f>MAX(AE185,AE186)</f>
        <v>900.67273753323434</v>
      </c>
      <c r="AG187" s="27" t="s">
        <v>533</v>
      </c>
      <c r="AH187" s="28"/>
      <c r="AI187" s="18">
        <f>MAX(AI185,AI186)</f>
        <v>853.78152540397059</v>
      </c>
      <c r="AK187" s="27" t="s">
        <v>809</v>
      </c>
      <c r="AL187" s="28"/>
      <c r="AM187" s="18">
        <f>MAX(AM185,AM186)</f>
        <v>601.23431966988016</v>
      </c>
      <c r="AO187" s="27" t="s">
        <v>810</v>
      </c>
      <c r="AP187" s="28"/>
      <c r="AQ187" s="18">
        <f>MAX(AQ185,AQ186)</f>
        <v>445.55457102915352</v>
      </c>
      <c r="AS187" s="30" t="s">
        <v>811</v>
      </c>
      <c r="AT187" s="30"/>
      <c r="AU187" s="18">
        <f>MAX(AU185,AU186)</f>
        <v>276.12542812626816</v>
      </c>
      <c r="AW187" s="27" t="s">
        <v>812</v>
      </c>
      <c r="AX187" s="28"/>
      <c r="AY187" s="18">
        <f>MAX(AY185,AY186)</f>
        <v>96.979999999999109</v>
      </c>
      <c r="BA187" s="27" t="s">
        <v>813</v>
      </c>
      <c r="BB187" s="28"/>
      <c r="BC187" s="18">
        <f>MAX(BC185,BC186)</f>
        <v>-92.438915002952399</v>
      </c>
      <c r="BE187" s="27" t="s">
        <v>814</v>
      </c>
      <c r="BF187" s="28"/>
      <c r="BG187" s="18">
        <f>MAX(BG185,BG186)</f>
        <v>-292.7204724848757</v>
      </c>
      <c r="BI187" s="27" t="s">
        <v>815</v>
      </c>
      <c r="BJ187" s="28"/>
      <c r="BK187" s="18">
        <f>MAX(BK185,BK186)</f>
        <v>-488.57320222909186</v>
      </c>
    </row>
    <row r="189" spans="17:66">
      <c r="AC189" s="27" t="s">
        <v>816</v>
      </c>
      <c r="AD189" s="29"/>
      <c r="AE189" s="28"/>
      <c r="AG189" s="27" t="s">
        <v>521</v>
      </c>
      <c r="AH189" s="29"/>
      <c r="AI189" s="28"/>
      <c r="AK189" s="27" t="s">
        <v>817</v>
      </c>
      <c r="AL189" s="29"/>
      <c r="AM189" s="28"/>
      <c r="AO189" s="30" t="s">
        <v>818</v>
      </c>
      <c r="AP189" s="30"/>
      <c r="AQ189" s="30"/>
      <c r="AS189" s="30" t="s">
        <v>819</v>
      </c>
      <c r="AT189" s="30"/>
      <c r="AU189" s="30"/>
      <c r="AW189" s="27" t="s">
        <v>820</v>
      </c>
      <c r="AX189" s="29"/>
      <c r="AY189" s="28"/>
      <c r="BA189" s="27" t="s">
        <v>821</v>
      </c>
      <c r="BB189" s="29"/>
      <c r="BC189" s="28"/>
      <c r="BE189" s="27" t="s">
        <v>822</v>
      </c>
      <c r="BF189" s="29"/>
      <c r="BG189" s="28"/>
      <c r="BI189" s="27" t="s">
        <v>823</v>
      </c>
      <c r="BJ189" s="29"/>
      <c r="BK189" s="28"/>
    </row>
    <row r="190" spans="17:66">
      <c r="AC190" s="27" t="s">
        <v>310</v>
      </c>
      <c r="AD190" s="28"/>
      <c r="AE190" s="18">
        <f>C19*(C17*AA180 + C18*AA185)</f>
        <v>969.68260843059807</v>
      </c>
      <c r="AG190" s="27" t="s">
        <v>310</v>
      </c>
      <c r="AH190" s="28"/>
      <c r="AI190" s="18">
        <f>C19*(C17*AE180 + C18*AE185)</f>
        <v>849.59382625299872</v>
      </c>
      <c r="AK190" s="27" t="s">
        <v>310</v>
      </c>
      <c r="AL190" s="28"/>
      <c r="AM190" s="18">
        <f>C19*(C17*AI180 + C18*AI185)</f>
        <v>703.16494102063723</v>
      </c>
      <c r="AO190" s="27" t="s">
        <v>310</v>
      </c>
      <c r="AP190" s="28"/>
      <c r="AQ190" s="24">
        <f>C19*(C17*AM180 + C18*AM185)</f>
        <v>548.37671654161363</v>
      </c>
      <c r="AS190" s="30" t="s">
        <v>310</v>
      </c>
      <c r="AT190" s="30"/>
      <c r="AU190" s="18">
        <f>C19*(C17*AQ180 + C18*AQ185)</f>
        <v>384.75009251487847</v>
      </c>
      <c r="AW190" s="27" t="s">
        <v>310</v>
      </c>
      <c r="AX190" s="28"/>
      <c r="AY190" s="18">
        <f>C19*(C17*AU180 + C18*AU185)</f>
        <v>211.77855476812539</v>
      </c>
      <c r="BA190" s="27" t="s">
        <v>310</v>
      </c>
      <c r="BB190" s="28"/>
      <c r="BC190" s="18">
        <f>C19*(C17*AY180 + C18*AY185)</f>
        <v>28.92656193796282</v>
      </c>
      <c r="BE190" s="27" t="s">
        <v>310</v>
      </c>
      <c r="BF190" s="28"/>
      <c r="BG190" s="18">
        <f>C19*(C17*BC180 + C18*BC185)</f>
        <v>-164.37211801334894</v>
      </c>
      <c r="BI190" s="27" t="s">
        <v>310</v>
      </c>
      <c r="BJ190" s="28"/>
      <c r="BK190" s="18">
        <f>C19*(C17*BG180 + C18*BG185)</f>
        <v>-364.22921011149089</v>
      </c>
    </row>
    <row r="191" spans="17:66">
      <c r="AC191" s="27" t="s">
        <v>313</v>
      </c>
      <c r="AD191" s="28"/>
      <c r="AE191" s="18">
        <f>IF(G3 = "call",MAX(AI79 - C4),MAX(C4 - AI79))</f>
        <v>991.8804163384857</v>
      </c>
      <c r="AG191" s="27" t="s">
        <v>313</v>
      </c>
      <c r="AH191" s="28"/>
      <c r="AI191" s="18">
        <f xml:space="preserve"> IF(G3 = "call",MAX(AG76 - C4),MAX(C4 - AG76))</f>
        <v>946.7004001293808</v>
      </c>
      <c r="AK191" s="27" t="s">
        <v>313</v>
      </c>
      <c r="AL191" s="28"/>
      <c r="AM191" s="18">
        <f xml:space="preserve"> IF(G3 = "call",MAX(AE64 - C4),MAX(C4 - AE64))</f>
        <v>605.79440949476384</v>
      </c>
      <c r="AO191" s="27" t="s">
        <v>313</v>
      </c>
      <c r="AP191" s="28"/>
      <c r="AQ191" s="18">
        <f xml:space="preserve"> IF(G3 = "call",MAX(AC61 - C4),MAX(C4 - AC61))</f>
        <v>553.37082773947259</v>
      </c>
      <c r="AS191" s="30" t="s">
        <v>313</v>
      </c>
      <c r="AT191" s="30"/>
      <c r="AU191" s="18">
        <f xml:space="preserve"> IF(G3 = "call",MAX(AA55 - C4),MAX(C4 - AA55))</f>
        <v>390.12464417856836</v>
      </c>
      <c r="AW191" s="27" t="s">
        <v>313</v>
      </c>
      <c r="AX191" s="28"/>
      <c r="AY191" s="18">
        <f xml:space="preserve"> IF(G3 = "call",MAX(Y49 - C4),MAX(C4 - Y49))</f>
        <v>217.51675073746947</v>
      </c>
      <c r="BA191" s="27" t="s">
        <v>313</v>
      </c>
      <c r="BB191" s="28"/>
      <c r="BC191" s="18">
        <f xml:space="preserve"> IF(G3 = "call",MAX(W43 - C4),MAX(C4 - W43))</f>
        <v>35.010279662400535</v>
      </c>
      <c r="BE191" s="27" t="s">
        <v>768</v>
      </c>
      <c r="BF191" s="28"/>
      <c r="BG191" s="18">
        <f xml:space="preserve"> IF(G3 = "call",MAX(U37 - C4),MAX(C4 - U37))</f>
        <v>-157.96242465741307</v>
      </c>
      <c r="BI191" s="27" t="s">
        <v>768</v>
      </c>
      <c r="BJ191" s="28"/>
      <c r="BK191" s="18">
        <f xml:space="preserve"> IF(G3 = "call",MAX(S31 - C4),MAX(C4 - S31))</f>
        <v>-362.00157128682395</v>
      </c>
    </row>
    <row r="192" spans="17:66">
      <c r="AC192" s="27" t="s">
        <v>824</v>
      </c>
      <c r="AD192" s="28"/>
      <c r="AE192" s="18">
        <f>MAX(AE190,AE191)</f>
        <v>991.8804163384857</v>
      </c>
      <c r="AG192" s="27" t="s">
        <v>533</v>
      </c>
      <c r="AH192" s="28"/>
      <c r="AI192" s="18">
        <f>MAX(AI190,AI191)</f>
        <v>946.7004001293808</v>
      </c>
      <c r="AK192" s="27" t="s">
        <v>825</v>
      </c>
      <c r="AL192" s="28"/>
      <c r="AM192" s="18">
        <f>MAX(AM190,AM191)</f>
        <v>703.16494102063723</v>
      </c>
      <c r="AO192" s="27" t="s">
        <v>826</v>
      </c>
      <c r="AP192" s="28"/>
      <c r="AQ192" s="18">
        <f>MAX(AQ190,AQ191)</f>
        <v>553.37082773947259</v>
      </c>
      <c r="AS192" s="30" t="s">
        <v>827</v>
      </c>
      <c r="AT192" s="30"/>
      <c r="AU192" s="18">
        <f>MAX(AU190,AU191)</f>
        <v>390.12464417856836</v>
      </c>
      <c r="AW192" s="27" t="s">
        <v>828</v>
      </c>
      <c r="AX192" s="28"/>
      <c r="AY192" s="18">
        <f>MAX(AY190,AY191)</f>
        <v>217.51675073746947</v>
      </c>
      <c r="BA192" s="27" t="s">
        <v>829</v>
      </c>
      <c r="BB192" s="28"/>
      <c r="BC192" s="18">
        <f>MAX(BC190,BC191)</f>
        <v>35.010279662400535</v>
      </c>
      <c r="BE192" s="27" t="s">
        <v>830</v>
      </c>
      <c r="BF192" s="28"/>
      <c r="BG192" s="18">
        <f>MAX(BG190,BG191)</f>
        <v>-157.96242465741307</v>
      </c>
      <c r="BI192" s="27" t="s">
        <v>831</v>
      </c>
      <c r="BJ192" s="28"/>
      <c r="BK192" s="18">
        <f>MAX(BK190,BK191)</f>
        <v>-362.00157128682395</v>
      </c>
      <c r="BM192" s="30" t="s">
        <v>832</v>
      </c>
      <c r="BN192" s="30"/>
    </row>
    <row r="194" spans="33:71">
      <c r="AG194" s="27" t="s">
        <v>521</v>
      </c>
      <c r="AH194" s="29"/>
      <c r="AI194" s="28"/>
      <c r="AK194" s="27" t="s">
        <v>833</v>
      </c>
      <c r="AL194" s="29"/>
      <c r="AM194" s="28"/>
      <c r="AO194" s="30" t="s">
        <v>834</v>
      </c>
      <c r="AP194" s="30"/>
      <c r="AQ194" s="30"/>
      <c r="AS194" s="30" t="s">
        <v>835</v>
      </c>
      <c r="AT194" s="30"/>
      <c r="AU194" s="30"/>
      <c r="AW194" s="27" t="s">
        <v>836</v>
      </c>
      <c r="AX194" s="29"/>
      <c r="AY194" s="28"/>
      <c r="BA194" s="27" t="s">
        <v>837</v>
      </c>
      <c r="BB194" s="29"/>
      <c r="BC194" s="28"/>
      <c r="BE194" s="27" t="s">
        <v>838</v>
      </c>
      <c r="BF194" s="29"/>
      <c r="BG194" s="28"/>
      <c r="BI194" s="27" t="s">
        <v>839</v>
      </c>
      <c r="BJ194" s="29"/>
      <c r="BK194" s="28"/>
      <c r="BM194" s="30" t="s">
        <v>840</v>
      </c>
      <c r="BN194" s="30"/>
      <c r="BO194" s="30"/>
    </row>
    <row r="195" spans="33:71">
      <c r="AG195" s="27" t="s">
        <v>310</v>
      </c>
      <c r="AH195" s="28"/>
      <c r="AI195" s="18">
        <f>C19*(C17*AE185 + C18*AE190)</f>
        <v>933.2437301499516</v>
      </c>
      <c r="AK195" s="27" t="s">
        <v>310</v>
      </c>
      <c r="AL195" s="28"/>
      <c r="AM195" s="19">
        <f>C19*(C17*AI185 + C18*AI190)</f>
        <v>801.37581925803977</v>
      </c>
      <c r="AO195" s="27" t="s">
        <v>310</v>
      </c>
      <c r="AP195" s="28"/>
      <c r="AQ195" s="23">
        <f>C19*(C17*AM185 + C18*AM190)</f>
        <v>652.2158400898544</v>
      </c>
      <c r="AS195" s="30" t="s">
        <v>310</v>
      </c>
      <c r="AT195" s="30"/>
      <c r="AU195" s="19">
        <f>C19*(C17*AQ185 + C18*AQ190)</f>
        <v>494.54000349808331</v>
      </c>
      <c r="AW195" s="27" t="s">
        <v>310</v>
      </c>
      <c r="AX195" s="28"/>
      <c r="AY195" s="18">
        <f>C19*(C17*AU185 + C18*AU190)</f>
        <v>327.86027947663746</v>
      </c>
      <c r="BA195" s="27" t="s">
        <v>310</v>
      </c>
      <c r="BB195" s="28"/>
      <c r="BC195" s="19">
        <f>C19*(C17*AY185 + C18*AY190)</f>
        <v>151.66067011447916</v>
      </c>
      <c r="BE195" s="27" t="s">
        <v>310</v>
      </c>
      <c r="BF195" s="28"/>
      <c r="BG195" s="19">
        <f>C19*(C17*BC185 + C18*BC190)</f>
        <v>-34.604393182325317</v>
      </c>
      <c r="BI195" s="27" t="s">
        <v>310</v>
      </c>
      <c r="BJ195" s="28"/>
      <c r="BK195" s="18">
        <f>C19*(C17*BG185 + C18*BG190)</f>
        <v>-231.51174432016612</v>
      </c>
      <c r="BM195" s="30" t="s">
        <v>310</v>
      </c>
      <c r="BN195" s="30"/>
      <c r="BO195" s="19">
        <f>C19*(C17*BK185 + C18*BK190)</f>
        <v>-426.17994017510892</v>
      </c>
    </row>
    <row r="196" spans="33:71">
      <c r="AG196" s="27" t="s">
        <v>313</v>
      </c>
      <c r="AH196" s="28"/>
      <c r="AI196" s="19">
        <f xml:space="preserve"> IF(G3 = "call",MAX(AG79 - C4),MAX(C4 - AG79))</f>
        <v>3400</v>
      </c>
      <c r="AK196" s="27" t="s">
        <v>313</v>
      </c>
      <c r="AL196" s="29"/>
      <c r="AM196" s="18">
        <f xml:space="preserve"> IF(G3 = "call",MAX(AE67 - C4),MAX(C4 - AE67))</f>
        <v>707.76305115360265</v>
      </c>
      <c r="AO196" s="27" t="s">
        <v>313</v>
      </c>
      <c r="AP196" s="29"/>
      <c r="AQ196" s="18">
        <f xml:space="preserve"> IF(G3 = "call",MAX(AC64 - C4),MAX(C4 - AC64))</f>
        <v>657.25255748339805</v>
      </c>
      <c r="AS196" s="30" t="s">
        <v>313</v>
      </c>
      <c r="AT196" s="27"/>
      <c r="AU196" s="18">
        <f xml:space="preserve"> IF(G3 = "call",MAX(AA58 - C4),MAX(C4 - AA58))</f>
        <v>499.96369919958033</v>
      </c>
      <c r="AW196" s="27" t="s">
        <v>313</v>
      </c>
      <c r="AX196" s="28"/>
      <c r="AY196" s="18">
        <f xml:space="preserve"> IF(G3 = "call",MAX(Y52 - C4),MAX(C4 - Y52))</f>
        <v>333.65476689920479</v>
      </c>
      <c r="BA196" s="27" t="s">
        <v>313</v>
      </c>
      <c r="BB196" s="29"/>
      <c r="BC196" s="18">
        <f xml:space="preserve"> IF(G3 = "call",MAX(W46 - C4),MAX(C4 - W46))</f>
        <v>157.8084846852239</v>
      </c>
      <c r="BE196" s="27" t="s">
        <v>768</v>
      </c>
      <c r="BF196" s="29"/>
      <c r="BG196" s="18">
        <f xml:space="preserve"> IF(G3 = "call",MAX(U40 - C4),MAX(C4 - U40))</f>
        <v>-28.122087658479359</v>
      </c>
      <c r="BI196" s="27" t="s">
        <v>768</v>
      </c>
      <c r="BJ196" s="28"/>
      <c r="BK196" s="19">
        <f xml:space="preserve"> IF(G3 = "call",MAX(S34 - C4),MAX(C4 - S34))</f>
        <v>-224.71525583242965</v>
      </c>
      <c r="BM196" s="30" t="s">
        <v>768</v>
      </c>
      <c r="BN196" s="27"/>
      <c r="BO196" s="18">
        <f xml:space="preserve"> IF(G3 = "call",MAX(Q28 - C4),MAX(C4 - Q28))</f>
        <v>-432.58248974394837</v>
      </c>
    </row>
    <row r="197" spans="33:71">
      <c r="AG197" s="27" t="s">
        <v>533</v>
      </c>
      <c r="AH197" s="29"/>
      <c r="AI197" s="18">
        <f>MAX(AI195,AI196)</f>
        <v>3400</v>
      </c>
      <c r="AK197" s="27" t="s">
        <v>841</v>
      </c>
      <c r="AL197" s="28"/>
      <c r="AM197" s="24">
        <f>MAX(AM195,AM196)</f>
        <v>801.37581925803977</v>
      </c>
      <c r="AO197" s="27" t="s">
        <v>842</v>
      </c>
      <c r="AP197" s="28"/>
      <c r="AQ197" s="24">
        <f>MAX(AQ195,AQ196)</f>
        <v>657.25255748339805</v>
      </c>
      <c r="AS197" s="30" t="s">
        <v>843</v>
      </c>
      <c r="AT197" s="30"/>
      <c r="AU197" s="24">
        <f>MAX(AU195,AU196)</f>
        <v>499.96369919958033</v>
      </c>
      <c r="AW197" s="27" t="s">
        <v>844</v>
      </c>
      <c r="AX197" s="28"/>
      <c r="AY197" s="18">
        <f>MAX(AY195,AY196)</f>
        <v>333.65476689920479</v>
      </c>
      <c r="BA197" s="27" t="s">
        <v>845</v>
      </c>
      <c r="BB197" s="28"/>
      <c r="BC197" s="24">
        <f>MAX(BC195,BC196)</f>
        <v>157.8084846852239</v>
      </c>
      <c r="BE197" s="27" t="s">
        <v>846</v>
      </c>
      <c r="BF197" s="28"/>
      <c r="BG197" s="24">
        <f>MAX(BG195,BG196)</f>
        <v>-28.122087658479359</v>
      </c>
      <c r="BI197" s="27" t="s">
        <v>847</v>
      </c>
      <c r="BJ197" s="29"/>
      <c r="BK197" s="18">
        <f>MAX(BK195,BK196)</f>
        <v>-224.71525583242965</v>
      </c>
      <c r="BM197" s="30" t="s">
        <v>848</v>
      </c>
      <c r="BN197" s="27"/>
      <c r="BO197" s="18">
        <f>MAX(BO195,BO196)</f>
        <v>-426.17994017510892</v>
      </c>
    </row>
    <row r="199" spans="33:71">
      <c r="AK199" s="27" t="s">
        <v>849</v>
      </c>
      <c r="AL199" s="29"/>
      <c r="AM199" s="28"/>
      <c r="AO199" s="30" t="s">
        <v>850</v>
      </c>
      <c r="AP199" s="30"/>
      <c r="AQ199" s="30"/>
      <c r="AS199" s="30" t="s">
        <v>851</v>
      </c>
      <c r="AT199" s="30"/>
      <c r="AU199" s="30"/>
      <c r="AW199" s="27" t="s">
        <v>852</v>
      </c>
      <c r="AX199" s="29"/>
      <c r="AY199" s="28"/>
      <c r="BA199" s="27" t="s">
        <v>853</v>
      </c>
      <c r="BB199" s="29"/>
      <c r="BC199" s="28"/>
      <c r="BE199" s="27" t="s">
        <v>854</v>
      </c>
      <c r="BF199" s="29"/>
      <c r="BG199" s="28"/>
      <c r="BI199" s="27" t="s">
        <v>855</v>
      </c>
      <c r="BJ199" s="29"/>
      <c r="BK199" s="28"/>
      <c r="BM199" s="30" t="s">
        <v>856</v>
      </c>
      <c r="BN199" s="30"/>
      <c r="BO199" s="30"/>
    </row>
    <row r="200" spans="33:71">
      <c r="AK200" s="27" t="s">
        <v>310</v>
      </c>
      <c r="AL200" s="28"/>
      <c r="AM200" s="18">
        <f>C19*(C17*AI190 + C18*AI195)</f>
        <v>891.37335067105755</v>
      </c>
      <c r="AO200" s="27" t="s">
        <v>310</v>
      </c>
      <c r="AP200" s="28"/>
      <c r="AQ200" s="24">
        <f>C19*(C17*AM190 + C18*AM195)</f>
        <v>752.2655737609731</v>
      </c>
      <c r="AS200" s="30" t="s">
        <v>310</v>
      </c>
      <c r="AT200" s="30"/>
      <c r="AU200" s="18">
        <f>C19*(C17*AQ190 + C18*AQ195)</f>
        <v>600.32336316350279</v>
      </c>
      <c r="AW200" s="27" t="s">
        <v>310</v>
      </c>
      <c r="AX200" s="28"/>
      <c r="AY200" s="18">
        <f>C19*(C17*AU190 + C18*AU195)</f>
        <v>439.70584639126213</v>
      </c>
      <c r="BA200" s="27" t="s">
        <v>310</v>
      </c>
      <c r="BB200" s="28"/>
      <c r="BC200" s="18">
        <f>C19*(C17*AY190 + C18*AY195)</f>
        <v>269.91585578848009</v>
      </c>
      <c r="BE200" s="27" t="s">
        <v>310</v>
      </c>
      <c r="BF200" s="28"/>
      <c r="BG200" s="18">
        <f>C19*(C17*BC190 + C18*BC195)</f>
        <v>90.42773213621399</v>
      </c>
      <c r="BI200" s="27" t="s">
        <v>310</v>
      </c>
      <c r="BJ200" s="28"/>
      <c r="BK200" s="18">
        <f>C19*(C17*BG190 + C18*BG195)</f>
        <v>-99.314308135277187</v>
      </c>
      <c r="BM200" s="30" t="s">
        <v>310</v>
      </c>
      <c r="BN200" s="30"/>
      <c r="BO200" s="18">
        <f>C19*(C17*BK190 + C18*BK195)</f>
        <v>-297.66023832020085</v>
      </c>
    </row>
    <row r="201" spans="33:71">
      <c r="AK201" s="27" t="s">
        <v>313</v>
      </c>
      <c r="AL201" s="28"/>
      <c r="AM201" s="18">
        <f xml:space="preserve"> IF(G3 = "call",MAX(AE70 - C4),MAX(C4 - AE70))</f>
        <v>806.01056222810666</v>
      </c>
      <c r="AO201" s="27" t="s">
        <v>313</v>
      </c>
      <c r="AP201" s="28"/>
      <c r="AQ201" s="18">
        <f xml:space="preserve"> IF(G3 = "call",MAX(AC67 - C4),MAX(C4 - AC67))</f>
        <v>757.34334252692179</v>
      </c>
      <c r="AS201" s="30" t="s">
        <v>313</v>
      </c>
      <c r="AT201" s="30"/>
      <c r="AU201" s="18">
        <f xml:space="preserve"> IF(G3 = "call",MAX(AA61 - C4),MAX(C4 - AA61))</f>
        <v>605.7944094947643</v>
      </c>
      <c r="AW201" s="27" t="s">
        <v>313</v>
      </c>
      <c r="AX201" s="28"/>
      <c r="AY201" s="18">
        <f xml:space="preserve"> IF(G3 = "call",MAX(Y55 - C4),MAX(C4 - Y55))</f>
        <v>445.55457102915352</v>
      </c>
      <c r="BA201" s="27" t="s">
        <v>313</v>
      </c>
      <c r="BB201" s="28"/>
      <c r="BC201" s="18">
        <f xml:space="preserve"> IF(G3 = "call",MAX(W49 - C4),MAX(C4 - W49))</f>
        <v>276.12542812626862</v>
      </c>
      <c r="BE201" s="27" t="s">
        <v>313</v>
      </c>
      <c r="BF201" s="28"/>
      <c r="BG201" s="18">
        <f xml:space="preserve"> IF(G3 = "call",MAX(U43 - C4),MAX(C4 - U43))</f>
        <v>96.979999999998654</v>
      </c>
      <c r="BI201" s="27" t="s">
        <v>768</v>
      </c>
      <c r="BJ201" s="28"/>
      <c r="BK201" s="18">
        <f xml:space="preserve"> IF(G3 = "call",MAX(S37 - C4),MAX(C4 - S37))</f>
        <v>-92.438915002951944</v>
      </c>
      <c r="BM201" s="30" t="s">
        <v>768</v>
      </c>
      <c r="BN201" s="30"/>
      <c r="BO201" s="18">
        <f xml:space="preserve"> IF(G3 = "call",MAX(Q31 - C4),MAX(C4 - Q31))</f>
        <v>-292.7204724848757</v>
      </c>
    </row>
    <row r="202" spans="33:71">
      <c r="AK202" s="27" t="s">
        <v>857</v>
      </c>
      <c r="AL202" s="28"/>
      <c r="AM202" s="18">
        <f>MAX(AM200,AM201)</f>
        <v>891.37335067105755</v>
      </c>
      <c r="AO202" s="27" t="s">
        <v>858</v>
      </c>
      <c r="AP202" s="28"/>
      <c r="AQ202" s="18">
        <f>MAX(AQ200,AQ201)</f>
        <v>757.34334252692179</v>
      </c>
      <c r="AS202" s="30" t="s">
        <v>859</v>
      </c>
      <c r="AT202" s="30"/>
      <c r="AU202" s="18">
        <f>MAX(AU200,AU201)</f>
        <v>605.7944094947643</v>
      </c>
      <c r="AW202" s="27" t="s">
        <v>860</v>
      </c>
      <c r="AX202" s="28"/>
      <c r="AY202" s="18">
        <f>MAX(AY200,AY201)</f>
        <v>445.55457102915352</v>
      </c>
      <c r="BA202" s="27" t="s">
        <v>861</v>
      </c>
      <c r="BB202" s="28"/>
      <c r="BC202" s="18">
        <f>MAX(BC200,BC201)</f>
        <v>276.12542812626862</v>
      </c>
      <c r="BE202" s="27" t="s">
        <v>862</v>
      </c>
      <c r="BF202" s="28"/>
      <c r="BG202" s="18">
        <f>MAX(BG200,BG201)</f>
        <v>96.979999999998654</v>
      </c>
      <c r="BI202" s="27" t="s">
        <v>863</v>
      </c>
      <c r="BJ202" s="28"/>
      <c r="BK202" s="18">
        <f>MAX(BK200,BK201)</f>
        <v>-92.438915002951944</v>
      </c>
      <c r="BM202" s="30" t="s">
        <v>848</v>
      </c>
      <c r="BN202" s="30"/>
      <c r="BO202" s="18">
        <f>MAX(BO200,BO201)</f>
        <v>-292.7204724848757</v>
      </c>
      <c r="BQ202" s="27" t="s">
        <v>864</v>
      </c>
      <c r="BR202" s="28"/>
    </row>
    <row r="204" spans="33:71">
      <c r="AO204" s="30" t="s">
        <v>865</v>
      </c>
      <c r="AP204" s="30"/>
      <c r="AQ204" s="30"/>
      <c r="AS204" s="30" t="s">
        <v>866</v>
      </c>
      <c r="AT204" s="30"/>
      <c r="AU204" s="30"/>
      <c r="AW204" s="27" t="s">
        <v>867</v>
      </c>
      <c r="AX204" s="29"/>
      <c r="AY204" s="28"/>
      <c r="BA204" s="27" t="s">
        <v>868</v>
      </c>
      <c r="BB204" s="29"/>
      <c r="BC204" s="28"/>
      <c r="BE204" s="27" t="s">
        <v>869</v>
      </c>
      <c r="BF204" s="29"/>
      <c r="BG204" s="28"/>
      <c r="BI204" s="27" t="s">
        <v>870</v>
      </c>
      <c r="BJ204" s="29"/>
      <c r="BK204" s="28"/>
      <c r="BM204" s="30" t="s">
        <v>871</v>
      </c>
      <c r="BN204" s="30"/>
      <c r="BO204" s="30"/>
      <c r="BQ204" s="74" t="s">
        <v>872</v>
      </c>
      <c r="BR204" s="72"/>
      <c r="BS204" s="72"/>
    </row>
    <row r="205" spans="33:71">
      <c r="AO205" s="27" t="s">
        <v>310</v>
      </c>
      <c r="AP205" s="28"/>
      <c r="AQ205" s="24">
        <f>C19*(C17*AM195 + C18*AM200)</f>
        <v>846.3442908412859</v>
      </c>
      <c r="AS205" s="30" t="s">
        <v>310</v>
      </c>
      <c r="AT205" s="30"/>
      <c r="AU205" s="18">
        <f>C19*(C17*AQ195 + C18*AQ200)</f>
        <v>702.24638215397556</v>
      </c>
      <c r="AW205" s="27" t="s">
        <v>310</v>
      </c>
      <c r="AX205" s="28"/>
      <c r="AY205" s="18">
        <f>C19*(C17*AU195 + C18*AU200)</f>
        <v>547.46984515907604</v>
      </c>
      <c r="BA205" s="27" t="s">
        <v>310</v>
      </c>
      <c r="BB205" s="28"/>
      <c r="BC205" s="18">
        <f>C19*(C17*AY195 + C18*AY200)</f>
        <v>383.85556779323275</v>
      </c>
      <c r="BE205" s="27" t="s">
        <v>310</v>
      </c>
      <c r="BF205" s="28"/>
      <c r="BG205" s="18">
        <f>C19*(C17*BC195 + C18*BC200)</f>
        <v>210.89707366183137</v>
      </c>
      <c r="BI205" s="27" t="s">
        <v>310</v>
      </c>
      <c r="BJ205" s="28"/>
      <c r="BK205" s="18">
        <f>C19*(C17*BG195 + C18*BG200)</f>
        <v>28.058861344126836</v>
      </c>
      <c r="BM205" s="30" t="s">
        <v>310</v>
      </c>
      <c r="BN205" s="30"/>
      <c r="BO205" s="18">
        <f>C19*(C17*BK195 + C18*BK200)</f>
        <v>-165.22525896595059</v>
      </c>
      <c r="BQ205" s="75" t="s">
        <v>310</v>
      </c>
      <c r="BR205" s="75"/>
      <c r="BS205" s="77">
        <f>C19*(C17*BO195 + C18*BO200)</f>
        <v>-361.7043857640212</v>
      </c>
    </row>
    <row r="206" spans="33:71">
      <c r="AO206" s="27" t="s">
        <v>313</v>
      </c>
      <c r="AP206" s="28"/>
      <c r="AQ206" s="18">
        <f xml:space="preserve"> IF(G3 = "call",MAX(AC70 - C4),MAX(C4 - AC70))</f>
        <v>853.78152540397059</v>
      </c>
      <c r="AS206" s="30" t="s">
        <v>313</v>
      </c>
      <c r="AT206" s="30"/>
      <c r="AU206" s="18">
        <f xml:space="preserve"> IF(G3 = "call",MAX(AA64 - C4),MAX(C4 - AA64))</f>
        <v>707.7630511536031</v>
      </c>
      <c r="AW206" s="27" t="s">
        <v>313</v>
      </c>
      <c r="AX206" s="28"/>
      <c r="AY206" s="18">
        <f xml:space="preserve"> IF(G3 = "call",MAX(Y58 - C4),MAX(C4 - Y58))</f>
        <v>553.37082773947304</v>
      </c>
      <c r="BA206" s="27" t="s">
        <v>313</v>
      </c>
      <c r="BB206" s="28"/>
      <c r="BC206" s="18">
        <f xml:space="preserve"> IF(G3 = "call",MAX(W52 - C4),MAX(C4 - W52))</f>
        <v>390.12464417856836</v>
      </c>
      <c r="BE206" s="27" t="s">
        <v>313</v>
      </c>
      <c r="BF206" s="28"/>
      <c r="BG206" s="18">
        <f xml:space="preserve"> IF(G3 = "call",MAX(U46 - C4),MAX(C4 - U46))</f>
        <v>217.51675073747037</v>
      </c>
      <c r="BI206" s="27" t="s">
        <v>768</v>
      </c>
      <c r="BJ206" s="28"/>
      <c r="BK206" s="18">
        <f xml:space="preserve"> IF(G3 = "call",MAX(S40 - C4),MAX(C4 - S40))</f>
        <v>35.01027966240099</v>
      </c>
      <c r="BM206" s="30" t="s">
        <v>768</v>
      </c>
      <c r="BN206" s="30"/>
      <c r="BO206" s="18">
        <f xml:space="preserve"> IF(G3 = "call",MAX(Q34 - C4),MAX(C4 - Q34))</f>
        <v>-157.96242465741307</v>
      </c>
      <c r="BQ206" s="74" t="s">
        <v>873</v>
      </c>
      <c r="BR206" s="73"/>
      <c r="BS206" s="76">
        <f xml:space="preserve"> IF(G3 = "call",MAX(O28 - C4),MAX(C4 - O28))</f>
        <v>-362.00157128682395</v>
      </c>
    </row>
    <row r="207" spans="33:71">
      <c r="AO207" s="27" t="s">
        <v>874</v>
      </c>
      <c r="AP207" s="28"/>
      <c r="AQ207" s="18">
        <f>MAX(AQ205,AQ206)</f>
        <v>853.78152540397059</v>
      </c>
      <c r="AS207" s="30" t="s">
        <v>875</v>
      </c>
      <c r="AT207" s="30"/>
      <c r="AU207" s="18">
        <f>MAX(AU205,AU206)</f>
        <v>707.7630511536031</v>
      </c>
      <c r="AW207" s="27" t="s">
        <v>876</v>
      </c>
      <c r="AX207" s="28"/>
      <c r="AY207" s="18">
        <f>MAX(AY205,AY206)</f>
        <v>553.37082773947304</v>
      </c>
      <c r="BA207" s="27" t="s">
        <v>877</v>
      </c>
      <c r="BB207" s="28"/>
      <c r="BC207" s="18">
        <f>MAX(BC205,BC206)</f>
        <v>390.12464417856836</v>
      </c>
      <c r="BE207" s="27" t="s">
        <v>878</v>
      </c>
      <c r="BF207" s="28"/>
      <c r="BG207" s="18">
        <f>MAX(BG205,BG206)</f>
        <v>217.51675073747037</v>
      </c>
      <c r="BI207" s="27" t="s">
        <v>879</v>
      </c>
      <c r="BJ207" s="28"/>
      <c r="BK207" s="18">
        <f>MAX(BK205,BK206)</f>
        <v>35.01027966240099</v>
      </c>
      <c r="BM207" s="30" t="s">
        <v>848</v>
      </c>
      <c r="BN207" s="30"/>
      <c r="BO207" s="18">
        <f>MAX(BO205,BO206)</f>
        <v>-157.96242465741307</v>
      </c>
      <c r="BQ207" s="74" t="s">
        <v>880</v>
      </c>
      <c r="BR207" s="73"/>
      <c r="BS207" s="76">
        <f>MAX(BS205,BS206)</f>
        <v>-361.7043857640212</v>
      </c>
    </row>
    <row r="209" spans="45:79">
      <c r="AS209" s="30" t="s">
        <v>881</v>
      </c>
      <c r="AT209" s="30"/>
      <c r="AU209" s="30"/>
      <c r="AW209" s="27" t="s">
        <v>882</v>
      </c>
      <c r="AX209" s="29"/>
      <c r="AY209" s="28"/>
      <c r="BA209" s="27" t="s">
        <v>883</v>
      </c>
      <c r="BB209" s="29"/>
      <c r="BC209" s="28"/>
      <c r="BE209" s="27" t="s">
        <v>884</v>
      </c>
      <c r="BF209" s="29"/>
      <c r="BG209" s="28"/>
      <c r="BI209" s="27" t="s">
        <v>885</v>
      </c>
      <c r="BJ209" s="29"/>
      <c r="BK209" s="28"/>
      <c r="BM209" s="30" t="s">
        <v>886</v>
      </c>
      <c r="BN209" s="30"/>
      <c r="BO209" s="30"/>
      <c r="BQ209" s="74" t="s">
        <v>887</v>
      </c>
      <c r="BR209" s="72"/>
      <c r="BS209" s="72"/>
    </row>
    <row r="210" spans="45:79">
      <c r="AS210" s="30" t="s">
        <v>310</v>
      </c>
      <c r="AT210" s="30"/>
      <c r="AU210" s="18">
        <f>C19*(C17*AQ200 + C18*AQ205)</f>
        <v>799.28735400093478</v>
      </c>
      <c r="AW210" s="27" t="s">
        <v>310</v>
      </c>
      <c r="AX210" s="28"/>
      <c r="AY210" s="18">
        <f>C19*(C17*AU200 + C18*AU205)</f>
        <v>651.30122400392588</v>
      </c>
      <c r="BA210" s="27" t="s">
        <v>310</v>
      </c>
      <c r="BB210" s="28"/>
      <c r="BC210" s="18">
        <f>C19*(C17*AY200+ C18*AY205)</f>
        <v>493.63729024145346</v>
      </c>
      <c r="BE210" s="27" t="s">
        <v>310</v>
      </c>
      <c r="BF210" s="28"/>
      <c r="BG210" s="18">
        <f>C19*(C17*BC200 + C18*BC205)</f>
        <v>326.97014056877236</v>
      </c>
      <c r="BI210" s="27" t="s">
        <v>310</v>
      </c>
      <c r="BJ210" s="28"/>
      <c r="BK210" s="18">
        <f>C19*(C17*BG200 + C18*BG205)</f>
        <v>150.78381555986891</v>
      </c>
      <c r="BM210" s="30" t="s">
        <v>310</v>
      </c>
      <c r="BN210" s="30"/>
      <c r="BO210" s="18">
        <f>C19*(C17*BK200 + C18*BK205)</f>
        <v>-35.467212688676341</v>
      </c>
      <c r="BQ210" s="75" t="s">
        <v>310</v>
      </c>
      <c r="BR210" s="75"/>
      <c r="BS210" s="77">
        <f>C19*(C17*BO200 + C18*BO205)</f>
        <v>-231.24380565855287</v>
      </c>
    </row>
    <row r="211" spans="45:79">
      <c r="AS211" s="30" t="s">
        <v>313</v>
      </c>
      <c r="AT211" s="30"/>
      <c r="AU211" s="18">
        <f xml:space="preserve"> IF(G3 = "call",MAX(AA67 - C4),MAX(C4 - AA67))</f>
        <v>806.01056222810666</v>
      </c>
      <c r="AW211" s="27" t="s">
        <v>313</v>
      </c>
      <c r="AX211" s="28"/>
      <c r="AY211" s="18">
        <f xml:space="preserve"> IF(G3 = "call",MAX(Y61 - C4),MAX(C4 - Y61))</f>
        <v>657.25255748339805</v>
      </c>
      <c r="BA211" s="27" t="s">
        <v>313</v>
      </c>
      <c r="BB211" s="28"/>
      <c r="BC211" s="18">
        <f xml:space="preserve"> IF(G3 = "call",MAX(W55 - C4),MAX(C4 - W55))</f>
        <v>499.96369919958124</v>
      </c>
      <c r="BE211" s="27" t="s">
        <v>313</v>
      </c>
      <c r="BF211" s="28"/>
      <c r="BG211" s="18">
        <f xml:space="preserve"> IF(G3 = "call",MAX(U49 - C4),MAX(C4 - U49))</f>
        <v>333.65476689920479</v>
      </c>
      <c r="BI211" s="27" t="s">
        <v>768</v>
      </c>
      <c r="BJ211" s="28"/>
      <c r="BK211" s="18">
        <f xml:space="preserve"> IF(G3 = "call",MAX(S43 - C4),MAX(C4 - S43))</f>
        <v>157.8084846852239</v>
      </c>
      <c r="BM211" s="30" t="s">
        <v>768</v>
      </c>
      <c r="BN211" s="30"/>
      <c r="BO211" s="18">
        <f xml:space="preserve"> IF(G3 = "call",MAX(Q37 - C4),MAX(C4 - Q37))</f>
        <v>-28.122087658479359</v>
      </c>
      <c r="BQ211" s="74" t="s">
        <v>873</v>
      </c>
      <c r="BR211" s="73"/>
      <c r="BS211" s="76">
        <f xml:space="preserve"> IF(G3 = "call",MAX(O31 - C4),MAX(C4 - O31))</f>
        <v>-224.71525583242919</v>
      </c>
    </row>
    <row r="212" spans="45:79">
      <c r="AS212" s="30" t="s">
        <v>888</v>
      </c>
      <c r="AT212" s="30"/>
      <c r="AU212" s="18">
        <f>MAX(AU210,AU211)</f>
        <v>806.01056222810666</v>
      </c>
      <c r="AW212" s="27" t="s">
        <v>889</v>
      </c>
      <c r="AX212" s="28"/>
      <c r="AY212" s="18">
        <f>MAX(AY210,AY211)</f>
        <v>657.25255748339805</v>
      </c>
      <c r="BA212" s="27" t="s">
        <v>890</v>
      </c>
      <c r="BB212" s="28"/>
      <c r="BC212" s="18">
        <f>MAX(BC210,BC211)</f>
        <v>499.96369919958124</v>
      </c>
      <c r="BE212" s="27" t="s">
        <v>891</v>
      </c>
      <c r="BF212" s="28"/>
      <c r="BG212" s="18">
        <f>MAX(BG210,BG211)</f>
        <v>333.65476689920479</v>
      </c>
      <c r="BI212" s="27" t="s">
        <v>892</v>
      </c>
      <c r="BJ212" s="28"/>
      <c r="BK212" s="18">
        <f>MAX(BK210,BK211)</f>
        <v>157.8084846852239</v>
      </c>
      <c r="BM212" s="30" t="s">
        <v>848</v>
      </c>
      <c r="BN212" s="30"/>
      <c r="BO212" s="18">
        <f>MAX(BO210,BO211)</f>
        <v>-28.122087658479359</v>
      </c>
      <c r="BQ212" s="74" t="s">
        <v>893</v>
      </c>
      <c r="BR212" s="73"/>
      <c r="BS212" s="76">
        <f>MAX(BS210,BS211)</f>
        <v>-224.71525583242919</v>
      </c>
    </row>
    <row r="213" spans="45:79">
      <c r="BU213" s="78"/>
      <c r="BV213" s="78"/>
      <c r="BW213" s="78"/>
    </row>
    <row r="214" spans="45:79">
      <c r="AW214" s="27" t="s">
        <v>894</v>
      </c>
      <c r="AX214" s="29"/>
      <c r="AY214" s="28"/>
      <c r="BA214" s="27" t="s">
        <v>895</v>
      </c>
      <c r="BB214" s="29"/>
      <c r="BC214" s="28"/>
      <c r="BE214" s="27" t="s">
        <v>896</v>
      </c>
      <c r="BF214" s="29"/>
      <c r="BG214" s="28"/>
      <c r="BI214" s="27" t="s">
        <v>897</v>
      </c>
      <c r="BJ214" s="29"/>
      <c r="BK214" s="28"/>
      <c r="BM214" s="30" t="s">
        <v>898</v>
      </c>
      <c r="BN214" s="30"/>
      <c r="BO214" s="30"/>
      <c r="BQ214" s="74" t="s">
        <v>899</v>
      </c>
      <c r="BR214" s="72"/>
      <c r="BS214" s="72"/>
      <c r="BU214" s="27" t="s">
        <v>900</v>
      </c>
      <c r="BV214" s="29"/>
      <c r="BW214" s="28"/>
    </row>
    <row r="215" spans="45:79">
      <c r="AW215" s="27" t="s">
        <v>310</v>
      </c>
      <c r="AX215" s="28"/>
      <c r="AY215" s="18">
        <f>C19*(C17*AU205 + C18*AU210)</f>
        <v>750.76088929222874</v>
      </c>
      <c r="BA215" s="27" t="s">
        <v>310</v>
      </c>
      <c r="BB215" s="28"/>
      <c r="BC215" s="18">
        <f>C19*(C17*AY205+ C18*AY210)</f>
        <v>599.41276019520819</v>
      </c>
      <c r="BE215" s="27" t="s">
        <v>310</v>
      </c>
      <c r="BF215" s="28"/>
      <c r="BG215" s="18">
        <f>C19*(C17*BC205 + C18*BC210)</f>
        <v>438.80736563004001</v>
      </c>
      <c r="BI215" s="27" t="s">
        <v>310</v>
      </c>
      <c r="BJ215" s="28"/>
      <c r="BK215" s="18">
        <f>C19*(C17*BG205 + C18*BG210)</f>
        <v>269.03018132759365</v>
      </c>
      <c r="BM215" s="30" t="s">
        <v>310</v>
      </c>
      <c r="BN215" s="30"/>
      <c r="BO215" s="18">
        <f>C19*(C17*BK205 + C18*BK210)</f>
        <v>89.555587274526218</v>
      </c>
      <c r="BQ215" s="75" t="s">
        <v>310</v>
      </c>
      <c r="BR215" s="75"/>
      <c r="BS215" s="77">
        <f>C19*(C17*BO205 + C18*BO210)</f>
        <v>-100.1721586465185</v>
      </c>
      <c r="BU215" s="27" t="s">
        <v>310</v>
      </c>
      <c r="BV215" s="28"/>
      <c r="BW215" s="24">
        <f>C19*(C17*BS205 + C18*BS210)</f>
        <v>-296.26682700970701</v>
      </c>
    </row>
    <row r="216" spans="45:79">
      <c r="AW216" s="27" t="s">
        <v>313</v>
      </c>
      <c r="AX216" s="28"/>
      <c r="AY216" s="18">
        <f xml:space="preserve"> IF(G3 = "call",MAX(Y64 - C4),MAX(C4 - Y64))</f>
        <v>757.34334252692179</v>
      </c>
      <c r="BA216" s="27" t="s">
        <v>313</v>
      </c>
      <c r="BB216" s="28"/>
      <c r="BC216" s="18">
        <f xml:space="preserve"> IF(G3 = "call",MAX(W58 - C4),MAX(C4 - W58))</f>
        <v>605.79440949476475</v>
      </c>
      <c r="BE216" s="27" t="s">
        <v>313</v>
      </c>
      <c r="BF216" s="28"/>
      <c r="BG216" s="18">
        <f xml:space="preserve"> IF(G3 = "call",MAX(U52 - C4),MAX(C4 - U52))</f>
        <v>445.55457102915352</v>
      </c>
      <c r="BI216" s="27" t="s">
        <v>768</v>
      </c>
      <c r="BJ216" s="28"/>
      <c r="BK216" s="18">
        <f xml:space="preserve"> IF(G3 = "call",MAX(S46 - C4),MAX(C4 - S46))</f>
        <v>276.12542812626862</v>
      </c>
      <c r="BM216" s="30" t="s">
        <v>768</v>
      </c>
      <c r="BN216" s="30"/>
      <c r="BO216" s="18">
        <f xml:space="preserve"> IF(G3 = "call",MAX(Q40 - C4),MAX(C4 - Q40))</f>
        <v>96.979999999999563</v>
      </c>
      <c r="BQ216" s="74" t="s">
        <v>873</v>
      </c>
      <c r="BR216" s="73"/>
      <c r="BS216" s="76">
        <f xml:space="preserve"> IF(G3 = "call",MAX(O34 - C4),MAX(C4 - O34))</f>
        <v>-92.438915002951944</v>
      </c>
      <c r="BU216" s="27" t="s">
        <v>768</v>
      </c>
      <c r="BV216" s="28"/>
      <c r="BW216" s="18">
        <f xml:space="preserve"> IF(G3 = "call",MAX(M28 - C4),MAX(C4 - M28))</f>
        <v>-292.72047248487524</v>
      </c>
    </row>
    <row r="217" spans="45:79">
      <c r="AW217" s="27" t="s">
        <v>901</v>
      </c>
      <c r="AX217" s="28"/>
      <c r="AY217" s="18">
        <f>MAX(AY215,AY216)</f>
        <v>757.34334252692179</v>
      </c>
      <c r="BA217" s="27" t="s">
        <v>902</v>
      </c>
      <c r="BB217" s="28"/>
      <c r="BC217" s="18">
        <f>MAX(BC215,BC216)</f>
        <v>605.79440949476475</v>
      </c>
      <c r="BE217" s="27" t="s">
        <v>903</v>
      </c>
      <c r="BF217" s="28"/>
      <c r="BG217" s="18">
        <f>MAX(BG215,BG216)</f>
        <v>445.55457102915352</v>
      </c>
      <c r="BI217" s="27" t="s">
        <v>904</v>
      </c>
      <c r="BJ217" s="28"/>
      <c r="BK217" s="18">
        <f>MAX(BK215,BK216)</f>
        <v>276.12542812626862</v>
      </c>
      <c r="BM217" s="30" t="s">
        <v>848</v>
      </c>
      <c r="BN217" s="30"/>
      <c r="BO217" s="18">
        <f>MAX(BO215,BO216)</f>
        <v>96.979999999999563</v>
      </c>
      <c r="BQ217" s="74" t="s">
        <v>905</v>
      </c>
      <c r="BR217" s="73"/>
      <c r="BS217" s="76">
        <f>MAX(BS215,BS216)</f>
        <v>-92.438915002951944</v>
      </c>
      <c r="BU217" s="27" t="s">
        <v>906</v>
      </c>
      <c r="BV217" s="28"/>
      <c r="BW217" s="18">
        <f>MAX(BW215,BW216)</f>
        <v>-292.72047248487524</v>
      </c>
    </row>
    <row r="219" spans="45:79">
      <c r="BA219" s="27" t="s">
        <v>907</v>
      </c>
      <c r="BB219" s="29"/>
      <c r="BC219" s="28"/>
      <c r="BE219" s="27" t="s">
        <v>908</v>
      </c>
      <c r="BF219" s="29"/>
      <c r="BG219" s="28"/>
      <c r="BI219" s="27" t="s">
        <v>909</v>
      </c>
      <c r="BJ219" s="29"/>
      <c r="BK219" s="28"/>
      <c r="BM219" s="30" t="s">
        <v>910</v>
      </c>
      <c r="BN219" s="30"/>
      <c r="BO219" s="30"/>
      <c r="BQ219" s="74" t="s">
        <v>911</v>
      </c>
      <c r="BR219" s="72"/>
      <c r="BS219" s="72"/>
      <c r="BU219" s="27" t="s">
        <v>912</v>
      </c>
      <c r="BV219" s="29"/>
      <c r="BW219" s="28"/>
    </row>
    <row r="220" spans="45:79">
      <c r="BA220" s="27" t="s">
        <v>310</v>
      </c>
      <c r="BB220" s="28"/>
      <c r="BC220" s="18">
        <f>C19*(C17*AY210+ C18*AY215)</f>
        <v>701.03621496322774</v>
      </c>
      <c r="BE220" s="27" t="s">
        <v>310</v>
      </c>
      <c r="BF220" s="28"/>
      <c r="BG220" s="18">
        <f>C19*(C17*BC210 + C18*BC215)</f>
        <v>546.5633269628471</v>
      </c>
      <c r="BI220" s="27" t="s">
        <v>310</v>
      </c>
      <c r="BJ220" s="28"/>
      <c r="BK220" s="18">
        <f>C19*(C17*BG210 + C18*BG215)</f>
        <v>382.96139528995343</v>
      </c>
      <c r="BM220" s="30" t="s">
        <v>310</v>
      </c>
      <c r="BN220" s="30"/>
      <c r="BO220" s="18">
        <f>C19*(C17*BK210 + C18*BK215)</f>
        <v>210.01594375398807</v>
      </c>
      <c r="BQ220" s="75" t="s">
        <v>310</v>
      </c>
      <c r="BR220" s="75"/>
      <c r="BS220" s="77">
        <f>C19*(C17*BO210 + C18*BO215)</f>
        <v>27.19151087387306</v>
      </c>
      <c r="BU220" s="27" t="s">
        <v>310</v>
      </c>
      <c r="BV220" s="28"/>
      <c r="BW220" s="24">
        <f>C19*(C17*BS210 + C18*BS215)</f>
        <v>-165.52153301076069</v>
      </c>
    </row>
    <row r="221" spans="45:79">
      <c r="BA221" s="27" t="s">
        <v>313</v>
      </c>
      <c r="BB221" s="28"/>
      <c r="BC221" s="18">
        <f xml:space="preserve"> IF(G3 = "call",MAX(W61 - C4),MAX(C4 - W61))</f>
        <v>707.7630511536031</v>
      </c>
      <c r="BE221" s="27" t="s">
        <v>313</v>
      </c>
      <c r="BF221" s="28"/>
      <c r="BG221" s="18">
        <f xml:space="preserve"> IF(G3 = "call",MAX(U55 - C4),MAX(C4 - U55))</f>
        <v>553.37082773947304</v>
      </c>
      <c r="BI221" s="27" t="s">
        <v>768</v>
      </c>
      <c r="BJ221" s="28"/>
      <c r="BK221" s="18">
        <f xml:space="preserve"> IF(G3 = "call",MAX(S49 - C4),MAX(C4 - S49))</f>
        <v>390.12464417856881</v>
      </c>
      <c r="BM221" s="30" t="s">
        <v>768</v>
      </c>
      <c r="BN221" s="30"/>
      <c r="BO221" s="18">
        <f xml:space="preserve"> IF(G3 = "call",MAX(Q43 - C4),MAX(C4 - Q43))</f>
        <v>217.51675073746992</v>
      </c>
      <c r="BQ221" s="74" t="s">
        <v>873</v>
      </c>
      <c r="BR221" s="73"/>
      <c r="BS221" s="76">
        <f xml:space="preserve"> IF(G3 = "call",MAX(O37 - C4),MAX(C4 - O37))</f>
        <v>35.010279662401445</v>
      </c>
      <c r="BU221" s="27" t="s">
        <v>768</v>
      </c>
      <c r="BV221" s="28"/>
      <c r="BW221" s="18">
        <f xml:space="preserve"> IF(G3 = "call",MAX(M31 - C4),MAX(C4 - M31))</f>
        <v>-157.96242465741307</v>
      </c>
    </row>
    <row r="222" spans="45:79">
      <c r="BA222" s="27" t="s">
        <v>913</v>
      </c>
      <c r="BB222" s="28"/>
      <c r="BC222" s="18">
        <f>MAX(BC220,BC221)</f>
        <v>707.7630511536031</v>
      </c>
      <c r="BE222" s="27" t="s">
        <v>914</v>
      </c>
      <c r="BF222" s="28"/>
      <c r="BG222" s="18">
        <f>MAX(BG220,BG221)</f>
        <v>553.37082773947304</v>
      </c>
      <c r="BI222" s="27" t="s">
        <v>915</v>
      </c>
      <c r="BJ222" s="28"/>
      <c r="BK222" s="18">
        <f>MAX(BK220,BK221)</f>
        <v>390.12464417856881</v>
      </c>
      <c r="BM222" s="30" t="s">
        <v>848</v>
      </c>
      <c r="BN222" s="30"/>
      <c r="BO222" s="18">
        <f>MAX(BO220,BO221)</f>
        <v>217.51675073746992</v>
      </c>
      <c r="BQ222" s="74" t="s">
        <v>916</v>
      </c>
      <c r="BR222" s="73"/>
      <c r="BS222" s="76">
        <f>MAX(BS220,BS221)</f>
        <v>35.010279662401445</v>
      </c>
      <c r="BU222" s="27" t="s">
        <v>917</v>
      </c>
      <c r="BV222" s="28"/>
      <c r="BW222" s="18">
        <f>MAX(BW220,BW221)</f>
        <v>-157.96242465741307</v>
      </c>
    </row>
    <row r="224" spans="45:79">
      <c r="BE224" s="27" t="s">
        <v>918</v>
      </c>
      <c r="BF224" s="29"/>
      <c r="BG224" s="28"/>
      <c r="BI224" s="27" t="s">
        <v>919</v>
      </c>
      <c r="BJ224" s="29"/>
      <c r="BK224" s="28"/>
      <c r="BM224" s="30" t="s">
        <v>920</v>
      </c>
      <c r="BN224" s="30"/>
      <c r="BO224" s="30"/>
      <c r="BQ224" s="74" t="s">
        <v>921</v>
      </c>
      <c r="BR224" s="72"/>
      <c r="BS224" s="72"/>
      <c r="BU224" s="27" t="s">
        <v>922</v>
      </c>
      <c r="BV224" s="29"/>
      <c r="BW224" s="28"/>
      <c r="BY224" s="33" t="s">
        <v>923</v>
      </c>
      <c r="BZ224" s="34"/>
      <c r="CA224" s="28"/>
    </row>
    <row r="225" spans="57:83">
      <c r="BE225" s="27" t="s">
        <v>310</v>
      </c>
      <c r="BF225" s="28"/>
      <c r="BG225" s="18">
        <f>C19*(C17*BC215 + C18*BC220)</f>
        <v>650.2406500832293</v>
      </c>
      <c r="BI225" s="27" t="s">
        <v>310</v>
      </c>
      <c r="BJ225" s="28"/>
      <c r="BK225" s="18">
        <f>C19*(C17*BG215 + C18*BG220)</f>
        <v>492.73492981392121</v>
      </c>
      <c r="BM225" s="30" t="s">
        <v>310</v>
      </c>
      <c r="BN225" s="30"/>
      <c r="BO225" s="18">
        <f>C19*(C17*BK215 + C18*BK220)</f>
        <v>326.08035350508862</v>
      </c>
      <c r="BQ225" s="75" t="s">
        <v>310</v>
      </c>
      <c r="BR225" s="75"/>
      <c r="BS225" s="77">
        <f>C19*(C17*BO215 + C18*BO220)</f>
        <v>149.90731181157693</v>
      </c>
      <c r="BU225" s="27" t="s">
        <v>310</v>
      </c>
      <c r="BV225" s="28"/>
      <c r="BW225" s="24">
        <f>C19*(C17*BS215 + C18*BS220)</f>
        <v>-36.329682482554063</v>
      </c>
      <c r="BY225" s="30" t="s">
        <v>310</v>
      </c>
      <c r="BZ225" s="30"/>
      <c r="CA225" s="25">
        <f>C19*(C17*BW215 + C18*BW220)</f>
        <v>-230.69737882350753</v>
      </c>
    </row>
    <row r="226" spans="57:83">
      <c r="BE226" s="27" t="s">
        <v>313</v>
      </c>
      <c r="BF226" s="28"/>
      <c r="BG226" s="18">
        <f xml:space="preserve"> IF(G3 = "call",MAX(U58 - C4),MAX(C4 - U58))</f>
        <v>657.2525574833985</v>
      </c>
      <c r="BI226" s="27" t="s">
        <v>768</v>
      </c>
      <c r="BJ226" s="28"/>
      <c r="BK226" s="18">
        <f xml:space="preserve"> IF(G3 = "call",MAX(S52 - C4),MAX(C4 - S52))</f>
        <v>499.96369919958124</v>
      </c>
      <c r="BM226" s="30" t="s">
        <v>768</v>
      </c>
      <c r="BN226" s="30"/>
      <c r="BO226" s="18">
        <f xml:space="preserve"> IF(G3 = "call",MAX(Q46 - C4),MAX(C4 - Q46))</f>
        <v>333.65476689920524</v>
      </c>
      <c r="BQ226" s="74" t="s">
        <v>873</v>
      </c>
      <c r="BR226" s="73"/>
      <c r="BS226" s="76">
        <f xml:space="preserve"> IF(G3 = "call",MAX(O40 - C4),MAX(C4 - O40))</f>
        <v>157.8084846852239</v>
      </c>
      <c r="BU226" s="27" t="s">
        <v>768</v>
      </c>
      <c r="BV226" s="28"/>
      <c r="BW226" s="18">
        <f xml:space="preserve"> IF(G3 = "call",MAX(M34 - C4),MAX(C4 - M34))</f>
        <v>-28.122087658478904</v>
      </c>
      <c r="BY226" s="31" t="s">
        <v>768</v>
      </c>
      <c r="BZ226" s="32"/>
      <c r="CA226" s="18">
        <f xml:space="preserve"> IF(G3 = "call",MAX(K28 - C4),MAX(C4 - K28))</f>
        <v>-224.71525583242965</v>
      </c>
    </row>
    <row r="227" spans="57:83">
      <c r="BE227" s="27" t="s">
        <v>924</v>
      </c>
      <c r="BF227" s="28"/>
      <c r="BG227" s="18">
        <f>MAX(BG225,BG226)</f>
        <v>657.2525574833985</v>
      </c>
      <c r="BI227" s="27" t="s">
        <v>925</v>
      </c>
      <c r="BJ227" s="28"/>
      <c r="BK227" s="18">
        <f>MAX(BK225,BK226)</f>
        <v>499.96369919958124</v>
      </c>
      <c r="BM227" s="30" t="s">
        <v>848</v>
      </c>
      <c r="BN227" s="30"/>
      <c r="BO227" s="18">
        <f>MAX(BO225,BO226)</f>
        <v>333.65476689920524</v>
      </c>
      <c r="BQ227" s="74" t="s">
        <v>926</v>
      </c>
      <c r="BR227" s="73"/>
      <c r="BS227" s="76">
        <f>MAX(BS225,BS226)</f>
        <v>157.8084846852239</v>
      </c>
      <c r="BU227" s="27" t="s">
        <v>927</v>
      </c>
      <c r="BV227" s="28"/>
      <c r="BW227" s="18">
        <f>MAX(BW225,BW226)</f>
        <v>-28.122087658478904</v>
      </c>
      <c r="BY227" s="27" t="s">
        <v>928</v>
      </c>
      <c r="BZ227" s="28"/>
      <c r="CA227" s="18">
        <f>MAX(CA225,CA226)</f>
        <v>-224.71525583242965</v>
      </c>
    </row>
    <row r="229" spans="57:83">
      <c r="BI229" s="27" t="s">
        <v>929</v>
      </c>
      <c r="BJ229" s="29"/>
      <c r="BK229" s="28"/>
      <c r="BM229" s="30" t="s">
        <v>930</v>
      </c>
      <c r="BN229" s="30"/>
      <c r="BO229" s="30"/>
      <c r="BQ229" s="74" t="s">
        <v>931</v>
      </c>
      <c r="BR229" s="72"/>
      <c r="BS229" s="72"/>
      <c r="BU229" s="27" t="s">
        <v>932</v>
      </c>
      <c r="BV229" s="29"/>
      <c r="BW229" s="28"/>
      <c r="BY229" s="33" t="s">
        <v>933</v>
      </c>
      <c r="BZ229" s="34"/>
      <c r="CA229" s="28"/>
    </row>
    <row r="230" spans="57:83">
      <c r="BI230" s="27" t="s">
        <v>310</v>
      </c>
      <c r="BJ230" s="28"/>
      <c r="BK230" s="18">
        <f>C19*(C17*BG220 + C18*BG225)</f>
        <v>598.42918927918299</v>
      </c>
      <c r="BM230" s="30" t="s">
        <v>310</v>
      </c>
      <c r="BN230" s="30"/>
      <c r="BO230" s="18">
        <f>C19*(C17*BK220 + C18*BK225)</f>
        <v>437.90923733516541</v>
      </c>
      <c r="BQ230" s="75" t="s">
        <v>310</v>
      </c>
      <c r="BR230" s="75"/>
      <c r="BS230" s="77">
        <f>C19*(C17*BO220 + C18*BO225)</f>
        <v>268.14485833084643</v>
      </c>
      <c r="BU230" s="27" t="s">
        <v>310</v>
      </c>
      <c r="BV230" s="28"/>
      <c r="BW230" s="24">
        <f>C19*(C17*BS220 + C18*BS225)</f>
        <v>88.683792820830988</v>
      </c>
      <c r="BY230" s="30" t="s">
        <v>310</v>
      </c>
      <c r="BZ230" s="30"/>
      <c r="CA230" s="25">
        <f>C19*(C17*BW220 + C18*BW225)</f>
        <v>-100.75212242060849</v>
      </c>
    </row>
    <row r="231" spans="57:83">
      <c r="BI231" s="27" t="s">
        <v>768</v>
      </c>
      <c r="BJ231" s="28"/>
      <c r="BK231" s="18">
        <f xml:space="preserve"> IF(G3 = "call",MAX(S55 - C4),MAX(C4 - S55))</f>
        <v>605.79440949476475</v>
      </c>
      <c r="BM231" s="30" t="s">
        <v>768</v>
      </c>
      <c r="BN231" s="30"/>
      <c r="BO231" s="18">
        <f xml:space="preserve"> IF(G3 = "call",MAX(Q49 - C4),MAX(C4 - Q49))</f>
        <v>445.55457102915398</v>
      </c>
      <c r="BQ231" s="74" t="s">
        <v>873</v>
      </c>
      <c r="BR231" s="73"/>
      <c r="BS231" s="76">
        <f xml:space="preserve"> IF(G3 = "call",MAX(O43 - C4),MAX(C4 - O43))</f>
        <v>276.12542812626862</v>
      </c>
      <c r="BU231" s="27" t="s">
        <v>768</v>
      </c>
      <c r="BV231" s="28"/>
      <c r="BW231" s="18">
        <f xml:space="preserve"> IF(G3 = "call",MAX(M37 - C4),MAX(C4 - M37))</f>
        <v>96.979999999999563</v>
      </c>
      <c r="BY231" s="31" t="s">
        <v>768</v>
      </c>
      <c r="BZ231" s="32"/>
      <c r="CA231" s="18">
        <f xml:space="preserve"> IF(G3 = "call",MAX(K31 - C4),MAX(C4 - K31))</f>
        <v>-92.438915002951489</v>
      </c>
    </row>
    <row r="232" spans="57:83">
      <c r="BI232" s="27" t="s">
        <v>934</v>
      </c>
      <c r="BJ232" s="28"/>
      <c r="BK232" s="18">
        <f>MAX(BK230,BK231)</f>
        <v>605.79440949476475</v>
      </c>
      <c r="BM232" s="30" t="s">
        <v>848</v>
      </c>
      <c r="BN232" s="30"/>
      <c r="BO232" s="18">
        <f>MAX(BO230,BO231)</f>
        <v>445.55457102915398</v>
      </c>
      <c r="BQ232" s="74" t="s">
        <v>935</v>
      </c>
      <c r="BR232" s="73"/>
      <c r="BS232" s="76">
        <f>MAX(BS230,BS231)</f>
        <v>276.12542812626862</v>
      </c>
      <c r="BU232" s="27" t="s">
        <v>936</v>
      </c>
      <c r="BV232" s="28"/>
      <c r="BW232" s="18">
        <f>MAX(BW230,BW231)</f>
        <v>96.979999999999563</v>
      </c>
      <c r="BY232" s="27" t="s">
        <v>937</v>
      </c>
      <c r="BZ232" s="28"/>
      <c r="CA232" s="18">
        <f>MAX(CA230,CA231)</f>
        <v>-92.438915002951489</v>
      </c>
    </row>
    <row r="234" spans="57:83">
      <c r="BM234" s="30" t="s">
        <v>938</v>
      </c>
      <c r="BN234" s="30"/>
      <c r="BO234" s="30"/>
      <c r="BQ234" s="74" t="s">
        <v>939</v>
      </c>
      <c r="BR234" s="72"/>
      <c r="BS234" s="72"/>
      <c r="BU234" s="27" t="s">
        <v>940</v>
      </c>
      <c r="BV234" s="29"/>
      <c r="BW234" s="28"/>
      <c r="BY234" s="33" t="s">
        <v>941</v>
      </c>
      <c r="BZ234" s="34"/>
      <c r="CA234" s="28"/>
      <c r="CC234" s="27" t="s">
        <v>942</v>
      </c>
      <c r="CD234" s="29"/>
      <c r="CE234" s="28"/>
    </row>
    <row r="235" spans="57:83">
      <c r="BM235" s="30" t="s">
        <v>310</v>
      </c>
      <c r="BN235" s="30"/>
      <c r="BO235" s="18">
        <f>C19*(C17*BK225 + C18*BK230)</f>
        <v>545.62041817947738</v>
      </c>
      <c r="BQ235" s="75" t="s">
        <v>310</v>
      </c>
      <c r="BR235" s="75"/>
      <c r="BS235" s="77">
        <f>C19*(C17*BO225 + C18*BO230)</f>
        <v>382.06757488462875</v>
      </c>
      <c r="BU235" s="27" t="s">
        <v>310</v>
      </c>
      <c r="BV235" s="28"/>
      <c r="BW235" s="24">
        <f>C19*(C17*BS225 + C18*BS230)</f>
        <v>209.13516492427507</v>
      </c>
      <c r="BY235" s="30" t="s">
        <v>310</v>
      </c>
      <c r="BZ235" s="30"/>
      <c r="CA235" s="25">
        <f>C19*(C17*BW225 + C18*BW230)</f>
        <v>26.324510406976792</v>
      </c>
      <c r="CC235" s="27" t="s">
        <v>310</v>
      </c>
      <c r="CD235" s="28"/>
      <c r="CE235" s="18">
        <f>C19*(C17*CA225 + C18*CA230)</f>
        <v>-165.53966619949065</v>
      </c>
    </row>
    <row r="236" spans="57:83">
      <c r="BM236" s="30" t="s">
        <v>768</v>
      </c>
      <c r="BN236" s="30"/>
      <c r="BO236" s="18">
        <f xml:space="preserve"> IF(G3 = "call",MAX(Q52 - C4),MAX(C4 - Q52))</f>
        <v>553.37082773947304</v>
      </c>
      <c r="BQ236" s="74" t="s">
        <v>873</v>
      </c>
      <c r="BR236" s="73"/>
      <c r="BS236" s="76">
        <f xml:space="preserve"> IF(G3 = "call",MAX(O46 - C4),MAX(C4 - O46))</f>
        <v>390.12464417856881</v>
      </c>
      <c r="BU236" s="27" t="s">
        <v>768</v>
      </c>
      <c r="BV236" s="28"/>
      <c r="BW236" s="18">
        <f xml:space="preserve"> IF(G3 = "call",MAX(M40 - C4),MAX(C4 - M40))</f>
        <v>217.51675073747037</v>
      </c>
      <c r="BY236" s="31" t="s">
        <v>768</v>
      </c>
      <c r="BZ236" s="32"/>
      <c r="CA236" s="18">
        <f xml:space="preserve"> IF(G3 = "call",MAX(K34 - C4),MAX(C4 - K34))</f>
        <v>35.01027966240099</v>
      </c>
      <c r="CC236" s="27" t="s">
        <v>768</v>
      </c>
      <c r="CD236" s="28"/>
      <c r="CE236" s="18">
        <f xml:space="preserve"> IF(G3 = "call",MAX(I28 - C4),MAX(C4 - I28))</f>
        <v>-157.96242465741261</v>
      </c>
    </row>
    <row r="237" spans="57:83">
      <c r="BM237" s="30" t="s">
        <v>848</v>
      </c>
      <c r="BN237" s="30"/>
      <c r="BO237" s="18">
        <f>MAX(BO235,BO236)</f>
        <v>553.37082773947304</v>
      </c>
      <c r="BQ237" s="74" t="s">
        <v>943</v>
      </c>
      <c r="BR237" s="73"/>
      <c r="BS237" s="76">
        <f>MAX(BS235,BS236)</f>
        <v>390.12464417856881</v>
      </c>
      <c r="BU237" s="27" t="s">
        <v>944</v>
      </c>
      <c r="BV237" s="28"/>
      <c r="BW237" s="18">
        <f>MAX(BW235,BW236)</f>
        <v>217.51675073747037</v>
      </c>
      <c r="BY237" s="27" t="s">
        <v>945</v>
      </c>
      <c r="BZ237" s="28"/>
      <c r="CA237" s="18">
        <f>MAX(CA235,CA236)</f>
        <v>35.01027966240099</v>
      </c>
      <c r="CC237" s="27" t="s">
        <v>946</v>
      </c>
      <c r="CD237" s="28"/>
      <c r="CE237" s="18">
        <f>MAX(CE235,CE236)</f>
        <v>-157.96242465741261</v>
      </c>
    </row>
    <row r="239" spans="57:83">
      <c r="BQ239" s="74" t="s">
        <v>947</v>
      </c>
      <c r="BR239" s="72"/>
      <c r="BS239" s="72"/>
      <c r="BU239" s="27" t="s">
        <v>948</v>
      </c>
      <c r="BV239" s="29"/>
      <c r="BW239" s="28"/>
      <c r="BY239" s="33" t="s">
        <v>949</v>
      </c>
      <c r="BZ239" s="34"/>
      <c r="CA239" s="28"/>
      <c r="CC239" s="27" t="s">
        <v>942</v>
      </c>
      <c r="CD239" s="29"/>
      <c r="CE239" s="28"/>
    </row>
    <row r="240" spans="57:83">
      <c r="BQ240" s="75" t="s">
        <v>310</v>
      </c>
      <c r="BR240" s="75"/>
      <c r="BS240" s="77">
        <f>C19*(C17*BO230 + C18*BO235)</f>
        <v>491.8145086895081</v>
      </c>
      <c r="BU240" s="27" t="s">
        <v>310</v>
      </c>
      <c r="BV240" s="28"/>
      <c r="BW240" s="24">
        <f>C19*(C17*BS230 + C18*BS235)</f>
        <v>325.19091816521779</v>
      </c>
      <c r="BY240" s="30" t="s">
        <v>310</v>
      </c>
      <c r="BZ240" s="30"/>
      <c r="CA240" s="25">
        <f>C19*(C17*BW230 + C18*BW235)</f>
        <v>149.03115874932757</v>
      </c>
      <c r="CC240" s="27" t="s">
        <v>310</v>
      </c>
      <c r="CD240" s="28"/>
      <c r="CE240" s="18">
        <f>C19*(C17*CA230 + C18*CA235)</f>
        <v>-37.053393785662593</v>
      </c>
    </row>
    <row r="241" spans="69:91">
      <c r="BQ241" s="74" t="s">
        <v>873</v>
      </c>
      <c r="BR241" s="73"/>
      <c r="BS241" s="76">
        <f xml:space="preserve"> IF(G3 = "call",MAX(O49 - C4),MAX(C4 - O49))</f>
        <v>499.96369919958124</v>
      </c>
      <c r="BU241" s="27" t="s">
        <v>768</v>
      </c>
      <c r="BV241" s="28"/>
      <c r="BW241" s="18">
        <f xml:space="preserve"> IF(G3 = "call",MAX(M43 - C4),MAX(C4 - M43))</f>
        <v>333.65476689920524</v>
      </c>
      <c r="BY241" s="31" t="s">
        <v>768</v>
      </c>
      <c r="BZ241" s="32"/>
      <c r="CA241" s="18">
        <f xml:space="preserve"> IF(G3 = "call",MAX(K37 - C4),MAX(C4 - K37))</f>
        <v>157.80848468522436</v>
      </c>
      <c r="CC241" s="27" t="s">
        <v>768</v>
      </c>
      <c r="CD241" s="28"/>
      <c r="CE241" s="18">
        <f xml:space="preserve"> IF(G3 = "call",MAX(I31 - C4),MAX(C4 - I31))</f>
        <v>-28.122087658479359</v>
      </c>
    </row>
    <row r="242" spans="69:91">
      <c r="BQ242" s="74" t="s">
        <v>950</v>
      </c>
      <c r="BR242" s="73"/>
      <c r="BS242" s="76">
        <f>MAX(BS240,BS241)</f>
        <v>499.96369919958124</v>
      </c>
      <c r="BU242" s="27" t="s">
        <v>951</v>
      </c>
      <c r="BV242" s="28"/>
      <c r="BW242" s="18">
        <f>MAX(BW240,BW241)</f>
        <v>333.65476689920524</v>
      </c>
      <c r="BY242" s="27" t="s">
        <v>952</v>
      </c>
      <c r="BZ242" s="28"/>
      <c r="CA242" s="18">
        <f>MAX(CA240,CA241)</f>
        <v>157.80848468522436</v>
      </c>
      <c r="CC242" s="27" t="s">
        <v>953</v>
      </c>
      <c r="CD242" s="28"/>
      <c r="CE242" s="18">
        <f>MAX(CE240,CE241)</f>
        <v>-28.122087658479359</v>
      </c>
    </row>
    <row r="244" spans="69:91">
      <c r="BU244" s="27" t="s">
        <v>954</v>
      </c>
      <c r="BV244" s="29"/>
      <c r="BW244" s="28"/>
      <c r="BY244" s="33" t="s">
        <v>955</v>
      </c>
      <c r="BZ244" s="34"/>
      <c r="CA244" s="28"/>
      <c r="CC244" s="27" t="s">
        <v>942</v>
      </c>
      <c r="CD244" s="29"/>
      <c r="CE244" s="28"/>
      <c r="CG244" s="27" t="s">
        <v>956</v>
      </c>
      <c r="CH244" s="29"/>
      <c r="CI244" s="28"/>
    </row>
    <row r="245" spans="69:91">
      <c r="BU245" s="27" t="s">
        <v>310</v>
      </c>
      <c r="BV245" s="28"/>
      <c r="BW245" s="24">
        <f>C19*(C17*BS235 + C18*BS240)</f>
        <v>437.00223384688923</v>
      </c>
      <c r="BY245" s="30" t="s">
        <v>310</v>
      </c>
      <c r="BZ245" s="30"/>
      <c r="CA245" s="25">
        <f>C19*(C17*BW235 + C18*BW240)</f>
        <v>267.25988667791381</v>
      </c>
      <c r="CC245" s="27" t="s">
        <v>310</v>
      </c>
      <c r="CD245" s="28"/>
      <c r="CE245" s="18">
        <f>C19*(C17*CA235 + C18*CA240)</f>
        <v>87.812348654897917</v>
      </c>
      <c r="CG245" s="27" t="s">
        <v>310</v>
      </c>
      <c r="CH245" s="28"/>
      <c r="CI245" s="18">
        <f>C19*(C17*CE235 + C18*CE240)</f>
        <v>-101.12384010744601</v>
      </c>
    </row>
    <row r="246" spans="69:91">
      <c r="BU246" s="27" t="s">
        <v>768</v>
      </c>
      <c r="BV246" s="28"/>
      <c r="BW246" s="18">
        <f xml:space="preserve"> IF(G3 = "call",MAX(M46 - C4),MAX(C4 - M46))</f>
        <v>445.55457102915398</v>
      </c>
      <c r="BY246" s="31" t="s">
        <v>768</v>
      </c>
      <c r="BZ246" s="32"/>
      <c r="CA246" s="18">
        <f xml:space="preserve"> IF(G3 = "call",MAX(K40 - C4),MAX(C4 - K40))</f>
        <v>276.12542812626953</v>
      </c>
      <c r="CC246" s="27" t="s">
        <v>768</v>
      </c>
      <c r="CD246" s="28"/>
      <c r="CE246" s="18">
        <f xml:space="preserve"> IF(G3 = "call",MAX(I34 - C4),MAX(C4 - I34))</f>
        <v>96.979999999999563</v>
      </c>
      <c r="CG246" s="27" t="s">
        <v>768</v>
      </c>
      <c r="CH246" s="28"/>
      <c r="CI246" s="18">
        <f xml:space="preserve"> IF(G3 = "call",MAX(G28 - C4),MAX(C4 - G28))</f>
        <v>-92.438915002951944</v>
      </c>
    </row>
    <row r="247" spans="69:91">
      <c r="BU247" s="27" t="s">
        <v>957</v>
      </c>
      <c r="BV247" s="28"/>
      <c r="BW247" s="18">
        <f>MAX(BW245,BW246)</f>
        <v>445.55457102915398</v>
      </c>
      <c r="BY247" s="27" t="s">
        <v>958</v>
      </c>
      <c r="BZ247" s="28"/>
      <c r="CA247" s="18">
        <f>MAX(CA245,CA246)</f>
        <v>276.12542812626953</v>
      </c>
      <c r="CC247" s="27" t="s">
        <v>959</v>
      </c>
      <c r="CD247" s="28"/>
      <c r="CE247" s="18">
        <f>MAX(CE245,CE246)</f>
        <v>96.979999999999563</v>
      </c>
      <c r="CG247" s="27" t="s">
        <v>960</v>
      </c>
      <c r="CH247" s="28"/>
      <c r="CI247" s="18">
        <f>MAX(CI245,CI246)</f>
        <v>-92.438915002951944</v>
      </c>
    </row>
    <row r="249" spans="69:91">
      <c r="BY249" s="33" t="s">
        <v>961</v>
      </c>
      <c r="BZ249" s="34"/>
      <c r="CA249" s="28"/>
      <c r="CC249" s="27" t="s">
        <v>942</v>
      </c>
      <c r="CD249" s="29"/>
      <c r="CE249" s="28"/>
      <c r="CG249" s="27" t="s">
        <v>956</v>
      </c>
      <c r="CH249" s="29"/>
      <c r="CI249" s="28"/>
    </row>
    <row r="250" spans="69:91">
      <c r="BY250" s="30" t="s">
        <v>310</v>
      </c>
      <c r="BZ250" s="30"/>
      <c r="CA250" s="25">
        <f>C19*(C17*BW240 + C18*BW245)</f>
        <v>381.16948224535412</v>
      </c>
      <c r="CC250" s="27" t="s">
        <v>310</v>
      </c>
      <c r="CD250" s="28"/>
      <c r="CE250" s="18">
        <f>C19*(C17*CA240 + C18*CA245)</f>
        <v>208.25473705241197</v>
      </c>
      <c r="CG250" s="27" t="s">
        <v>310</v>
      </c>
      <c r="CH250" s="28"/>
      <c r="CI250" s="18">
        <f>C19*(C17*CE240 + C18*CE245)</f>
        <v>25.526884827647994</v>
      </c>
    </row>
    <row r="251" spans="69:91">
      <c r="BY251" s="31" t="s">
        <v>768</v>
      </c>
      <c r="BZ251" s="32"/>
      <c r="CA251" s="18">
        <f xml:space="preserve"> IF(G3 = "call",MAX(K43 - C4),MAX(C4 - K43))</f>
        <v>390.12464417856881</v>
      </c>
      <c r="CC251" s="27" t="s">
        <v>768</v>
      </c>
      <c r="CD251" s="28"/>
      <c r="CE251" s="18">
        <f xml:space="preserve"> IF(G3 = "call",MAX(I37 - C4),MAX(C4 - I37))</f>
        <v>217.51675073747083</v>
      </c>
      <c r="CG251" s="27" t="s">
        <v>768</v>
      </c>
      <c r="CH251" s="28"/>
      <c r="CI251" s="18">
        <f xml:space="preserve"> IF(G3 = "call",MAX(G31 - C4),MAX(C4 - G31))</f>
        <v>35.010279662401445</v>
      </c>
    </row>
    <row r="252" spans="69:91">
      <c r="BY252" s="27" t="s">
        <v>962</v>
      </c>
      <c r="BZ252" s="28"/>
      <c r="CA252" s="18">
        <f>MAX(CA250,CA251)</f>
        <v>390.12464417856881</v>
      </c>
      <c r="CC252" s="27" t="s">
        <v>963</v>
      </c>
      <c r="CD252" s="28"/>
      <c r="CE252" s="18">
        <f>MAX(CE250,CE251)</f>
        <v>217.51675073747083</v>
      </c>
      <c r="CG252" s="27" t="s">
        <v>960</v>
      </c>
      <c r="CH252" s="28"/>
      <c r="CI252" s="18">
        <f>MAX(CI250,CI251)</f>
        <v>35.010279662401445</v>
      </c>
    </row>
    <row r="254" spans="69:91">
      <c r="CC254" s="27" t="s">
        <v>942</v>
      </c>
      <c r="CD254" s="29"/>
      <c r="CE254" s="28"/>
      <c r="CG254" s="27" t="s">
        <v>956</v>
      </c>
      <c r="CH254" s="29"/>
      <c r="CI254" s="28"/>
      <c r="CK254" s="27" t="s">
        <v>964</v>
      </c>
      <c r="CL254" s="29"/>
      <c r="CM254" s="28"/>
    </row>
    <row r="255" spans="69:91">
      <c r="CC255" s="27" t="s">
        <v>310</v>
      </c>
      <c r="CD255" s="28"/>
      <c r="CE255" s="18">
        <f>C19*(C17*CA245 + C18*CA250)</f>
        <v>324.29951709031621</v>
      </c>
      <c r="CG255" s="27" t="s">
        <v>310</v>
      </c>
      <c r="CH255" s="28"/>
      <c r="CI255" s="18">
        <f>C19*(C17*CE245 + C18*CE250)</f>
        <v>148.15535625288516</v>
      </c>
      <c r="CK255" s="27" t="s">
        <v>310</v>
      </c>
      <c r="CL255" s="28"/>
      <c r="CM255" s="18">
        <f>C19*(C17*CI245 + C18*CI250)</f>
        <v>-37.63848608447401</v>
      </c>
    </row>
    <row r="256" spans="69:91">
      <c r="CC256" s="27" t="s">
        <v>768</v>
      </c>
      <c r="CD256" s="28"/>
      <c r="CE256" s="18">
        <f xml:space="preserve"> IF(G3 = "call",MAX(I40 - C4),MAX(C4 - I40))</f>
        <v>333.6547668992057</v>
      </c>
      <c r="CG256" s="27" t="s">
        <v>768</v>
      </c>
      <c r="CH256" s="28"/>
      <c r="CI256" s="18">
        <f xml:space="preserve"> IF(G3 = "call",MAX(G34 - C4),MAX(C4 - G34))</f>
        <v>157.80848468522481</v>
      </c>
      <c r="CK256" s="27" t="s">
        <v>768</v>
      </c>
      <c r="CL256" s="28"/>
      <c r="CM256" s="18">
        <f xml:space="preserve"> IF(G3 = "call",MAX(E28 - C4),MAX(C4 - E28))</f>
        <v>-28.122087658478904</v>
      </c>
    </row>
    <row r="257" spans="81:99">
      <c r="CC257" s="27" t="s">
        <v>965</v>
      </c>
      <c r="CD257" s="28"/>
      <c r="CE257" s="18">
        <f>MAX(CE255,CE256)</f>
        <v>333.6547668992057</v>
      </c>
      <c r="CG257" s="27" t="s">
        <v>960</v>
      </c>
      <c r="CH257" s="28"/>
      <c r="CI257" s="18">
        <f>MAX(CI255,CI256)</f>
        <v>157.80848468522481</v>
      </c>
      <c r="CK257" s="27" t="s">
        <v>966</v>
      </c>
      <c r="CL257" s="28"/>
      <c r="CM257" s="18">
        <f>MAX(CM255,CM256)</f>
        <v>-28.122087658478904</v>
      </c>
    </row>
    <row r="259" spans="81:99">
      <c r="CG259" s="27" t="s">
        <v>956</v>
      </c>
      <c r="CH259" s="29"/>
      <c r="CI259" s="28"/>
      <c r="CK259" s="27" t="s">
        <v>967</v>
      </c>
      <c r="CL259" s="29"/>
      <c r="CM259" s="28"/>
    </row>
    <row r="260" spans="81:99">
      <c r="CG260" s="27" t="s">
        <v>310</v>
      </c>
      <c r="CH260" s="28"/>
      <c r="CI260" s="18">
        <f>C19*(C17*CE250 + C18*CE255)</f>
        <v>266.37410495695786</v>
      </c>
      <c r="CK260" s="27" t="s">
        <v>310</v>
      </c>
      <c r="CL260" s="28"/>
      <c r="CM260" s="18">
        <f>C19*(C17*CI250 + C18*CI255)</f>
        <v>86.975677668959904</v>
      </c>
    </row>
    <row r="261" spans="81:99">
      <c r="CG261" s="27" t="s">
        <v>768</v>
      </c>
      <c r="CH261" s="28"/>
      <c r="CI261" s="18">
        <f xml:space="preserve"> IF(G3 = "call",MAX(G37 - C4),MAX(C4 - G37))</f>
        <v>276.12542812626953</v>
      </c>
      <c r="CK261" s="27" t="s">
        <v>768</v>
      </c>
      <c r="CL261" s="28"/>
      <c r="CM261" s="18">
        <f xml:space="preserve"> IF(G3 = "call",MAX(E31 - C4),MAX(C4 - E31))</f>
        <v>96.980000000000018</v>
      </c>
    </row>
    <row r="262" spans="81:99">
      <c r="CG262" s="27" t="s">
        <v>960</v>
      </c>
      <c r="CH262" s="28"/>
      <c r="CI262" s="18">
        <f>MAX(CI260,CI261)</f>
        <v>276.12542812626953</v>
      </c>
      <c r="CK262" s="27" t="s">
        <v>968</v>
      </c>
      <c r="CL262" s="28"/>
      <c r="CM262" s="18">
        <f>MAX(CM260,CM261)</f>
        <v>96.980000000000018</v>
      </c>
    </row>
    <row r="264" spans="81:99">
      <c r="CK264" s="27" t="s">
        <v>969</v>
      </c>
      <c r="CL264" s="29"/>
      <c r="CM264" s="28"/>
      <c r="CO264" s="27" t="s">
        <v>970</v>
      </c>
      <c r="CP264" s="29"/>
      <c r="CQ264" s="28"/>
    </row>
    <row r="265" spans="81:99">
      <c r="CK265" s="27" t="s">
        <v>310</v>
      </c>
      <c r="CL265" s="28"/>
      <c r="CM265" s="18">
        <f>C19*(C17*CI255 + C18*CI260)</f>
        <v>207.37407805826655</v>
      </c>
      <c r="CO265" s="27" t="s">
        <v>310</v>
      </c>
      <c r="CP265" s="28"/>
      <c r="CQ265" s="18">
        <f>C19*(C17*CM255 + C18*CM260)</f>
        <v>24.815814972486582</v>
      </c>
    </row>
    <row r="266" spans="81:99">
      <c r="CK266" s="27" t="s">
        <v>768</v>
      </c>
      <c r="CL266" s="28"/>
      <c r="CM266" s="18">
        <f xml:space="preserve"> IF(G3 = "call",MAX(E34 - C4),MAX(C4 - E34))</f>
        <v>217.51675073747083</v>
      </c>
      <c r="CO266" s="27" t="s">
        <v>313</v>
      </c>
      <c r="CP266" s="28"/>
      <c r="CQ266" s="18">
        <f xml:space="preserve"> IF(G3 = "call",MAX(C28 - C4),MAX(C4 - C28))</f>
        <v>35.010279662401899</v>
      </c>
    </row>
    <row r="267" spans="81:99">
      <c r="CK267" s="27" t="s">
        <v>971</v>
      </c>
      <c r="CL267" s="28"/>
      <c r="CM267" s="18">
        <f>MAX(CM265,CM266)</f>
        <v>217.51675073747083</v>
      </c>
      <c r="CO267" s="27" t="s">
        <v>972</v>
      </c>
      <c r="CP267" s="28"/>
      <c r="CQ267" s="18">
        <f>MAX(CQ265,CQ266)</f>
        <v>35.010279662401899</v>
      </c>
    </row>
    <row r="269" spans="81:99">
      <c r="CO269" s="27" t="s">
        <v>973</v>
      </c>
      <c r="CP269" s="29"/>
      <c r="CQ269" s="28"/>
      <c r="CS269" s="27" t="s">
        <v>974</v>
      </c>
      <c r="CT269" s="29"/>
      <c r="CU269" s="28"/>
    </row>
    <row r="270" spans="81:99">
      <c r="CO270" s="27" t="s">
        <v>310</v>
      </c>
      <c r="CP270" s="28"/>
      <c r="CQ270" s="18">
        <f>C19*(C17*CM260 + C18*CM265)</f>
        <v>147.29677944091014</v>
      </c>
      <c r="CS270" s="27" t="s">
        <v>975</v>
      </c>
      <c r="CT270" s="28"/>
      <c r="CU270" s="18">
        <f>C19*(C17*CQ265 + C18*CQ270)</f>
        <v>86.190804661828579</v>
      </c>
    </row>
    <row r="271" spans="81:99">
      <c r="CO271" s="27" t="s">
        <v>313</v>
      </c>
      <c r="CP271" s="28"/>
      <c r="CQ271" s="18">
        <f xml:space="preserve"> IF(G3 = "call",MAX(C31 - C4),MAX(C4 - C31))</f>
        <v>157.80848468522481</v>
      </c>
      <c r="CS271" s="27" t="s">
        <v>313</v>
      </c>
      <c r="CT271" s="28"/>
      <c r="CU271" s="18">
        <f xml:space="preserve"> IF(G3 = "call",MAX(A28 - C4),MAX(C4 - A28))</f>
        <v>96.980000000000018</v>
      </c>
    </row>
    <row r="272" spans="81:99">
      <c r="CO272" s="27" t="s">
        <v>972</v>
      </c>
      <c r="CP272" s="28"/>
      <c r="CQ272" s="18">
        <f>MAX(CQ270,CQ271)</f>
        <v>157.80848468522481</v>
      </c>
      <c r="CS272" s="27" t="s">
        <v>976</v>
      </c>
      <c r="CT272" s="28"/>
      <c r="CU272" s="18">
        <f>MAX(CU270,CU271)</f>
        <v>96.980000000000018</v>
      </c>
    </row>
  </sheetData>
  <mergeCells count="1371">
    <mergeCell ref="CO269:CQ269"/>
    <mergeCell ref="CO270:CP270"/>
    <mergeCell ref="CO271:CP271"/>
    <mergeCell ref="CO272:CP272"/>
    <mergeCell ref="CS269:CU269"/>
    <mergeCell ref="CS270:CT270"/>
    <mergeCell ref="CS271:CT271"/>
    <mergeCell ref="CS272:CT272"/>
    <mergeCell ref="F13:G13"/>
    <mergeCell ref="CG260:CH260"/>
    <mergeCell ref="CG261:CH261"/>
    <mergeCell ref="CG262:CH262"/>
    <mergeCell ref="CK254:CM254"/>
    <mergeCell ref="CK255:CL255"/>
    <mergeCell ref="CK256:CL256"/>
    <mergeCell ref="CK257:CL257"/>
    <mergeCell ref="CK259:CM259"/>
    <mergeCell ref="CK260:CL260"/>
    <mergeCell ref="CK261:CL261"/>
    <mergeCell ref="CK262:CL262"/>
    <mergeCell ref="CK264:CM264"/>
    <mergeCell ref="CK265:CL265"/>
    <mergeCell ref="CK266:CL266"/>
    <mergeCell ref="CK267:CL267"/>
    <mergeCell ref="CO264:CQ264"/>
    <mergeCell ref="CO265:CP265"/>
    <mergeCell ref="CO266:CP266"/>
    <mergeCell ref="CO267:CP267"/>
    <mergeCell ref="CC254:CE254"/>
    <mergeCell ref="CC255:CD255"/>
    <mergeCell ref="CC256:CD256"/>
    <mergeCell ref="CC257:CD257"/>
    <mergeCell ref="CG244:CI244"/>
    <mergeCell ref="CG245:CH245"/>
    <mergeCell ref="CG246:CH246"/>
    <mergeCell ref="CG247:CH247"/>
    <mergeCell ref="CG249:CI249"/>
    <mergeCell ref="CG250:CH250"/>
    <mergeCell ref="CG251:CH251"/>
    <mergeCell ref="CG252:CH252"/>
    <mergeCell ref="CG254:CI254"/>
    <mergeCell ref="CG255:CH255"/>
    <mergeCell ref="CG256:CH256"/>
    <mergeCell ref="CG257:CH257"/>
    <mergeCell ref="CG259:CI259"/>
    <mergeCell ref="BY249:CA249"/>
    <mergeCell ref="BY250:BZ250"/>
    <mergeCell ref="BY251:BZ251"/>
    <mergeCell ref="BY252:BZ252"/>
    <mergeCell ref="CC234:CE234"/>
    <mergeCell ref="CC235:CD235"/>
    <mergeCell ref="CC236:CD236"/>
    <mergeCell ref="CC237:CD237"/>
    <mergeCell ref="CC239:CE239"/>
    <mergeCell ref="CC240:CD240"/>
    <mergeCell ref="CC241:CD241"/>
    <mergeCell ref="CC242:CD242"/>
    <mergeCell ref="CC244:CE244"/>
    <mergeCell ref="CC245:CD245"/>
    <mergeCell ref="CC246:CD246"/>
    <mergeCell ref="CC247:CD247"/>
    <mergeCell ref="CC249:CE249"/>
    <mergeCell ref="CC250:CD250"/>
    <mergeCell ref="CC251:CD251"/>
    <mergeCell ref="CC252:CD252"/>
    <mergeCell ref="BU244:BW244"/>
    <mergeCell ref="BU245:BV245"/>
    <mergeCell ref="BU246:BV246"/>
    <mergeCell ref="BU247:BV247"/>
    <mergeCell ref="BY224:CA224"/>
    <mergeCell ref="BY225:BZ225"/>
    <mergeCell ref="BY226:BZ226"/>
    <mergeCell ref="BY227:BZ227"/>
    <mergeCell ref="BY229:CA229"/>
    <mergeCell ref="BY230:BZ230"/>
    <mergeCell ref="BY231:BZ231"/>
    <mergeCell ref="BY232:BZ232"/>
    <mergeCell ref="BY234:CA234"/>
    <mergeCell ref="BY235:BZ235"/>
    <mergeCell ref="BY236:BZ236"/>
    <mergeCell ref="BY237:BZ237"/>
    <mergeCell ref="BY239:CA239"/>
    <mergeCell ref="BY240:BZ240"/>
    <mergeCell ref="BY241:BZ241"/>
    <mergeCell ref="BY242:BZ242"/>
    <mergeCell ref="BY244:CA244"/>
    <mergeCell ref="BY245:BZ245"/>
    <mergeCell ref="BY246:BZ246"/>
    <mergeCell ref="BY247:BZ247"/>
    <mergeCell ref="BQ239:BS239"/>
    <mergeCell ref="BQ240:BR240"/>
    <mergeCell ref="BQ241:BR241"/>
    <mergeCell ref="BQ242:BR242"/>
    <mergeCell ref="BU214:BW214"/>
    <mergeCell ref="BU215:BV215"/>
    <mergeCell ref="BU216:BV216"/>
    <mergeCell ref="BU217:BV217"/>
    <mergeCell ref="BU219:BW219"/>
    <mergeCell ref="BU220:BV220"/>
    <mergeCell ref="BU221:BV221"/>
    <mergeCell ref="BU222:BV222"/>
    <mergeCell ref="BU224:BW224"/>
    <mergeCell ref="BU225:BV225"/>
    <mergeCell ref="BU226:BV226"/>
    <mergeCell ref="BU227:BV227"/>
    <mergeCell ref="BU229:BW229"/>
    <mergeCell ref="BU230:BV230"/>
    <mergeCell ref="BU231:BV231"/>
    <mergeCell ref="BU232:BV232"/>
    <mergeCell ref="BU234:BW234"/>
    <mergeCell ref="BU235:BV235"/>
    <mergeCell ref="BU236:BV236"/>
    <mergeCell ref="BU237:BV237"/>
    <mergeCell ref="BU239:BW239"/>
    <mergeCell ref="BU240:BV240"/>
    <mergeCell ref="BU241:BV241"/>
    <mergeCell ref="BU242:BV242"/>
    <mergeCell ref="BM235:BN235"/>
    <mergeCell ref="BM236:BN236"/>
    <mergeCell ref="BM237:BN237"/>
    <mergeCell ref="BQ204:BS204"/>
    <mergeCell ref="BQ205:BR205"/>
    <mergeCell ref="BQ206:BR206"/>
    <mergeCell ref="BQ207:BR207"/>
    <mergeCell ref="BQ202:BR202"/>
    <mergeCell ref="BQ209:BS209"/>
    <mergeCell ref="BQ210:BR210"/>
    <mergeCell ref="BQ211:BR211"/>
    <mergeCell ref="BQ212:BR212"/>
    <mergeCell ref="BQ214:BS214"/>
    <mergeCell ref="BQ215:BR215"/>
    <mergeCell ref="BQ216:BR216"/>
    <mergeCell ref="BQ217:BR217"/>
    <mergeCell ref="BQ219:BS219"/>
    <mergeCell ref="BQ220:BR220"/>
    <mergeCell ref="BQ221:BR221"/>
    <mergeCell ref="BQ222:BR222"/>
    <mergeCell ref="BQ224:BS224"/>
    <mergeCell ref="BQ225:BR225"/>
    <mergeCell ref="BQ226:BR226"/>
    <mergeCell ref="BQ227:BR227"/>
    <mergeCell ref="BQ229:BS229"/>
    <mergeCell ref="BQ230:BR230"/>
    <mergeCell ref="BQ231:BR231"/>
    <mergeCell ref="BQ232:BR232"/>
    <mergeCell ref="BQ234:BS234"/>
    <mergeCell ref="BQ235:BR235"/>
    <mergeCell ref="BQ236:BR236"/>
    <mergeCell ref="BQ237:BR237"/>
    <mergeCell ref="BM214:BO214"/>
    <mergeCell ref="BM215:BN215"/>
    <mergeCell ref="BM216:BN216"/>
    <mergeCell ref="BM217:BN217"/>
    <mergeCell ref="BM219:BO219"/>
    <mergeCell ref="BM220:BN220"/>
    <mergeCell ref="BM221:BN221"/>
    <mergeCell ref="BM222:BN222"/>
    <mergeCell ref="BM224:BO224"/>
    <mergeCell ref="BM225:BN225"/>
    <mergeCell ref="BM226:BN226"/>
    <mergeCell ref="BM227:BN227"/>
    <mergeCell ref="BM229:BO229"/>
    <mergeCell ref="BM230:BN230"/>
    <mergeCell ref="BM231:BN231"/>
    <mergeCell ref="BM232:BN232"/>
    <mergeCell ref="BM234:BO234"/>
    <mergeCell ref="BM192:BN192"/>
    <mergeCell ref="BM194:BO194"/>
    <mergeCell ref="BM195:BN195"/>
    <mergeCell ref="BM196:BN196"/>
    <mergeCell ref="BM197:BN197"/>
    <mergeCell ref="BM199:BO199"/>
    <mergeCell ref="BM200:BN200"/>
    <mergeCell ref="BM201:BN201"/>
    <mergeCell ref="BM202:BN202"/>
    <mergeCell ref="BM204:BO204"/>
    <mergeCell ref="BM205:BN205"/>
    <mergeCell ref="BM206:BN206"/>
    <mergeCell ref="BM207:BN207"/>
    <mergeCell ref="BM209:BO209"/>
    <mergeCell ref="BM210:BN210"/>
    <mergeCell ref="BM211:BN211"/>
    <mergeCell ref="BM212:BN212"/>
    <mergeCell ref="AS189:AU189"/>
    <mergeCell ref="AS190:AT190"/>
    <mergeCell ref="AS191:AT191"/>
    <mergeCell ref="AS192:AT192"/>
    <mergeCell ref="AS205:AT205"/>
    <mergeCell ref="AS206:AT206"/>
    <mergeCell ref="AS207:AT207"/>
    <mergeCell ref="AS209:AU209"/>
    <mergeCell ref="AS210:AT210"/>
    <mergeCell ref="AS211:AT211"/>
    <mergeCell ref="AS212:AT212"/>
    <mergeCell ref="AS194:AU194"/>
    <mergeCell ref="AS195:AT195"/>
    <mergeCell ref="AS196:AT196"/>
    <mergeCell ref="AS197:AT197"/>
    <mergeCell ref="AS199:AU199"/>
    <mergeCell ref="AS200:AT200"/>
    <mergeCell ref="AS201:AT201"/>
    <mergeCell ref="AS202:AT202"/>
    <mergeCell ref="AS204:AU204"/>
    <mergeCell ref="AS167:AT167"/>
    <mergeCell ref="AS169:AU169"/>
    <mergeCell ref="AS170:AT170"/>
    <mergeCell ref="AS171:AT171"/>
    <mergeCell ref="AS172:AT172"/>
    <mergeCell ref="AS174:AU174"/>
    <mergeCell ref="AS175:AT175"/>
    <mergeCell ref="AS176:AT176"/>
    <mergeCell ref="AS177:AT177"/>
    <mergeCell ref="AS179:AU179"/>
    <mergeCell ref="AS180:AT180"/>
    <mergeCell ref="AS181:AT181"/>
    <mergeCell ref="AS182:AT182"/>
    <mergeCell ref="AS184:AU184"/>
    <mergeCell ref="AS185:AT185"/>
    <mergeCell ref="AS186:AT186"/>
    <mergeCell ref="AS187:AT187"/>
    <mergeCell ref="AO192:AP192"/>
    <mergeCell ref="AO194:AQ194"/>
    <mergeCell ref="AO195:AP195"/>
    <mergeCell ref="AO196:AP196"/>
    <mergeCell ref="AO197:AP197"/>
    <mergeCell ref="AO199:AQ199"/>
    <mergeCell ref="AO200:AP200"/>
    <mergeCell ref="AO201:AP201"/>
    <mergeCell ref="AO202:AP202"/>
    <mergeCell ref="AO204:AQ204"/>
    <mergeCell ref="AO205:AP205"/>
    <mergeCell ref="AO206:AP206"/>
    <mergeCell ref="AO207:AP207"/>
    <mergeCell ref="AS144:AU144"/>
    <mergeCell ref="AS145:AT145"/>
    <mergeCell ref="AS146:AT146"/>
    <mergeCell ref="AS147:AT147"/>
    <mergeCell ref="AS149:AU149"/>
    <mergeCell ref="AS150:AT150"/>
    <mergeCell ref="AS151:AT151"/>
    <mergeCell ref="AS152:AT152"/>
    <mergeCell ref="AS154:AU154"/>
    <mergeCell ref="AS155:AT155"/>
    <mergeCell ref="AS156:AT156"/>
    <mergeCell ref="AS157:AT157"/>
    <mergeCell ref="AS159:AU159"/>
    <mergeCell ref="AS160:AT160"/>
    <mergeCell ref="AS161:AT161"/>
    <mergeCell ref="AS162:AT162"/>
    <mergeCell ref="AS164:AU164"/>
    <mergeCell ref="AS165:AT165"/>
    <mergeCell ref="AS166:AT166"/>
    <mergeCell ref="AO171:AP171"/>
    <mergeCell ref="AO172:AP172"/>
    <mergeCell ref="AO174:AQ174"/>
    <mergeCell ref="AO175:AP175"/>
    <mergeCell ref="AO176:AP176"/>
    <mergeCell ref="AO177:AP177"/>
    <mergeCell ref="AO179:AQ179"/>
    <mergeCell ref="AO180:AP180"/>
    <mergeCell ref="AO181:AP181"/>
    <mergeCell ref="AO182:AP182"/>
    <mergeCell ref="AO184:AQ184"/>
    <mergeCell ref="AO185:AP185"/>
    <mergeCell ref="AO186:AP186"/>
    <mergeCell ref="AO187:AP187"/>
    <mergeCell ref="AO189:AQ189"/>
    <mergeCell ref="AO190:AP190"/>
    <mergeCell ref="AO191:AP191"/>
    <mergeCell ref="AK202:AL202"/>
    <mergeCell ref="AO134:AQ134"/>
    <mergeCell ref="AO135:AP135"/>
    <mergeCell ref="AO136:AP136"/>
    <mergeCell ref="AO137:AP137"/>
    <mergeCell ref="AO139:AQ139"/>
    <mergeCell ref="AO140:AP140"/>
    <mergeCell ref="AO141:AP141"/>
    <mergeCell ref="AO142:AP142"/>
    <mergeCell ref="AO144:AQ144"/>
    <mergeCell ref="AO145:AP145"/>
    <mergeCell ref="AO146:AP146"/>
    <mergeCell ref="AO147:AP147"/>
    <mergeCell ref="AO149:AQ149"/>
    <mergeCell ref="AO150:AP150"/>
    <mergeCell ref="AO151:AP151"/>
    <mergeCell ref="AO152:AP152"/>
    <mergeCell ref="AO154:AQ154"/>
    <mergeCell ref="AO155:AP155"/>
    <mergeCell ref="AO156:AP156"/>
    <mergeCell ref="AO157:AP157"/>
    <mergeCell ref="AO159:AQ159"/>
    <mergeCell ref="AO160:AP160"/>
    <mergeCell ref="AK191:AL191"/>
    <mergeCell ref="AO161:AP161"/>
    <mergeCell ref="AO162:AP162"/>
    <mergeCell ref="AO164:AQ164"/>
    <mergeCell ref="AO165:AP165"/>
    <mergeCell ref="AO166:AP166"/>
    <mergeCell ref="AO167:AP167"/>
    <mergeCell ref="AO169:AQ169"/>
    <mergeCell ref="AO170:AP170"/>
    <mergeCell ref="AK176:AL176"/>
    <mergeCell ref="AK177:AL177"/>
    <mergeCell ref="AK179:AM179"/>
    <mergeCell ref="AK192:AL192"/>
    <mergeCell ref="AK194:AM194"/>
    <mergeCell ref="AK195:AL195"/>
    <mergeCell ref="AK196:AL196"/>
    <mergeCell ref="AK197:AL197"/>
    <mergeCell ref="AK199:AM199"/>
    <mergeCell ref="AK200:AL200"/>
    <mergeCell ref="AK201:AL201"/>
    <mergeCell ref="AK180:AL180"/>
    <mergeCell ref="AK181:AL181"/>
    <mergeCell ref="AK182:AL182"/>
    <mergeCell ref="AK184:AM184"/>
    <mergeCell ref="AK185:AL185"/>
    <mergeCell ref="AK186:AL186"/>
    <mergeCell ref="AK187:AL187"/>
    <mergeCell ref="AK189:AM189"/>
    <mergeCell ref="AK190:AL190"/>
    <mergeCell ref="AK155:AL155"/>
    <mergeCell ref="AK156:AL156"/>
    <mergeCell ref="AK157:AL157"/>
    <mergeCell ref="AK159:AM159"/>
    <mergeCell ref="AK160:AL160"/>
    <mergeCell ref="AK161:AL161"/>
    <mergeCell ref="AK162:AL162"/>
    <mergeCell ref="AK164:AM164"/>
    <mergeCell ref="AK165:AL165"/>
    <mergeCell ref="AK166:AL166"/>
    <mergeCell ref="AK167:AL167"/>
    <mergeCell ref="AK169:AM169"/>
    <mergeCell ref="AK170:AL170"/>
    <mergeCell ref="AK171:AL171"/>
    <mergeCell ref="AK172:AL172"/>
    <mergeCell ref="AK174:AM174"/>
    <mergeCell ref="AK175:AL175"/>
    <mergeCell ref="AK134:AM134"/>
    <mergeCell ref="AK135:AL135"/>
    <mergeCell ref="AK136:AL136"/>
    <mergeCell ref="AK137:AL137"/>
    <mergeCell ref="AK139:AM139"/>
    <mergeCell ref="AK140:AL140"/>
    <mergeCell ref="AK141:AL141"/>
    <mergeCell ref="AK142:AL142"/>
    <mergeCell ref="AK144:AM144"/>
    <mergeCell ref="AK145:AL145"/>
    <mergeCell ref="AK146:AL146"/>
    <mergeCell ref="AK147:AL147"/>
    <mergeCell ref="AK149:AM149"/>
    <mergeCell ref="AK150:AL150"/>
    <mergeCell ref="AK151:AL151"/>
    <mergeCell ref="AK152:AL152"/>
    <mergeCell ref="AK154:AM154"/>
    <mergeCell ref="A79:C79"/>
    <mergeCell ref="A80:B80"/>
    <mergeCell ref="A81:B81"/>
    <mergeCell ref="A82:B82"/>
    <mergeCell ref="A72:B72"/>
    <mergeCell ref="A74:C74"/>
    <mergeCell ref="A75:B75"/>
    <mergeCell ref="A76:B76"/>
    <mergeCell ref="A77:B77"/>
    <mergeCell ref="AK124:AM124"/>
    <mergeCell ref="AK125:AL125"/>
    <mergeCell ref="AK126:AL126"/>
    <mergeCell ref="AK127:AL127"/>
    <mergeCell ref="AK129:AM129"/>
    <mergeCell ref="AK130:AL130"/>
    <mergeCell ref="AK131:AL131"/>
    <mergeCell ref="AK132:AL132"/>
    <mergeCell ref="AZ42:BA42"/>
    <mergeCell ref="AZ39:BA39"/>
    <mergeCell ref="AZ87:BA87"/>
    <mergeCell ref="AZ84:BA84"/>
    <mergeCell ref="AZ81:BA81"/>
    <mergeCell ref="AZ78:BA78"/>
    <mergeCell ref="AZ75:BA75"/>
    <mergeCell ref="AZ102:BA102"/>
    <mergeCell ref="AZ99:BA99"/>
    <mergeCell ref="AZ96:BA96"/>
    <mergeCell ref="AZ93:BA93"/>
    <mergeCell ref="AZ90:BA90"/>
    <mergeCell ref="AZ36:BA36"/>
    <mergeCell ref="AZ33:BA33"/>
    <mergeCell ref="AZ30:BA30"/>
    <mergeCell ref="A21:C21"/>
    <mergeCell ref="A35:B35"/>
    <mergeCell ref="A39:C39"/>
    <mergeCell ref="A40:B40"/>
    <mergeCell ref="AZ27:BA27"/>
    <mergeCell ref="A41:B41"/>
    <mergeCell ref="A55:B55"/>
    <mergeCell ref="A56:B56"/>
    <mergeCell ref="A57:B57"/>
    <mergeCell ref="A59:C59"/>
    <mergeCell ref="A60:B60"/>
    <mergeCell ref="A61:B61"/>
    <mergeCell ref="A62:B62"/>
    <mergeCell ref="A64:C64"/>
    <mergeCell ref="A65:B65"/>
    <mergeCell ref="A66:B66"/>
    <mergeCell ref="A67:B67"/>
    <mergeCell ref="E8:F8"/>
    <mergeCell ref="E9:F9"/>
    <mergeCell ref="E3:F3"/>
    <mergeCell ref="A8:B8"/>
    <mergeCell ref="A9:B9"/>
    <mergeCell ref="A7:B7"/>
    <mergeCell ref="A6:B6"/>
    <mergeCell ref="A5:B5"/>
    <mergeCell ref="A4:B4"/>
    <mergeCell ref="A3:B3"/>
    <mergeCell ref="AZ72:BA72"/>
    <mergeCell ref="AZ69:BA69"/>
    <mergeCell ref="AZ66:BA66"/>
    <mergeCell ref="AZ63:BA63"/>
    <mergeCell ref="A22:B22"/>
    <mergeCell ref="A37:B37"/>
    <mergeCell ref="E59:G59"/>
    <mergeCell ref="E60:F60"/>
    <mergeCell ref="E61:F61"/>
    <mergeCell ref="E62:F62"/>
    <mergeCell ref="E64:G64"/>
    <mergeCell ref="E65:F65"/>
    <mergeCell ref="E66:F66"/>
    <mergeCell ref="E67:F67"/>
    <mergeCell ref="E69:G69"/>
    <mergeCell ref="E70:F70"/>
    <mergeCell ref="AZ57:BA57"/>
    <mergeCell ref="AZ60:BA60"/>
    <mergeCell ref="AZ54:BA54"/>
    <mergeCell ref="AZ51:BA51"/>
    <mergeCell ref="AZ48:BA48"/>
    <mergeCell ref="AZ45:BA45"/>
    <mergeCell ref="A90:B90"/>
    <mergeCell ref="A91:B91"/>
    <mergeCell ref="A92:B92"/>
    <mergeCell ref="A94:C94"/>
    <mergeCell ref="A95:B95"/>
    <mergeCell ref="A84:C84"/>
    <mergeCell ref="A85:B85"/>
    <mergeCell ref="A86:B86"/>
    <mergeCell ref="A87:B87"/>
    <mergeCell ref="A89:C89"/>
    <mergeCell ref="A1:C2"/>
    <mergeCell ref="A11:C12"/>
    <mergeCell ref="A13:B13"/>
    <mergeCell ref="A14:B14"/>
    <mergeCell ref="A15:B15"/>
    <mergeCell ref="A16:B16"/>
    <mergeCell ref="A17:B17"/>
    <mergeCell ref="A18:B18"/>
    <mergeCell ref="A19:B19"/>
    <mergeCell ref="A42:B42"/>
    <mergeCell ref="A44:C44"/>
    <mergeCell ref="A45:B45"/>
    <mergeCell ref="A46:B46"/>
    <mergeCell ref="A47:B47"/>
    <mergeCell ref="A49:C49"/>
    <mergeCell ref="A50:B50"/>
    <mergeCell ref="A51:B51"/>
    <mergeCell ref="A52:B52"/>
    <mergeCell ref="A54:C54"/>
    <mergeCell ref="A69:C69"/>
    <mergeCell ref="A70:B70"/>
    <mergeCell ref="A71:B71"/>
    <mergeCell ref="A115:B115"/>
    <mergeCell ref="A116:B116"/>
    <mergeCell ref="A117:B117"/>
    <mergeCell ref="A119:C119"/>
    <mergeCell ref="A120:B120"/>
    <mergeCell ref="A109:C109"/>
    <mergeCell ref="A110:B110"/>
    <mergeCell ref="A111:B111"/>
    <mergeCell ref="A112:B112"/>
    <mergeCell ref="A114:C114"/>
    <mergeCell ref="A102:B102"/>
    <mergeCell ref="A104:C104"/>
    <mergeCell ref="A105:B105"/>
    <mergeCell ref="A106:B106"/>
    <mergeCell ref="A107:B107"/>
    <mergeCell ref="A96:B96"/>
    <mergeCell ref="A97:B97"/>
    <mergeCell ref="A99:C99"/>
    <mergeCell ref="A100:B100"/>
    <mergeCell ref="A101:B101"/>
    <mergeCell ref="A141:B141"/>
    <mergeCell ref="A142:B142"/>
    <mergeCell ref="A144:C144"/>
    <mergeCell ref="A145:B145"/>
    <mergeCell ref="A134:C134"/>
    <mergeCell ref="A135:B135"/>
    <mergeCell ref="A136:B136"/>
    <mergeCell ref="A137:B137"/>
    <mergeCell ref="A139:C139"/>
    <mergeCell ref="A127:B127"/>
    <mergeCell ref="A129:C129"/>
    <mergeCell ref="A130:B130"/>
    <mergeCell ref="A131:B131"/>
    <mergeCell ref="A132:B132"/>
    <mergeCell ref="A121:B121"/>
    <mergeCell ref="A122:B122"/>
    <mergeCell ref="A124:C124"/>
    <mergeCell ref="A125:B125"/>
    <mergeCell ref="A126:B126"/>
    <mergeCell ref="A165:B165"/>
    <mergeCell ref="A166:B166"/>
    <mergeCell ref="A167:B167"/>
    <mergeCell ref="E44:G44"/>
    <mergeCell ref="E42:F42"/>
    <mergeCell ref="E45:F45"/>
    <mergeCell ref="E46:F46"/>
    <mergeCell ref="E47:F47"/>
    <mergeCell ref="E49:G49"/>
    <mergeCell ref="E50:F50"/>
    <mergeCell ref="E51:F51"/>
    <mergeCell ref="E52:F52"/>
    <mergeCell ref="E54:G54"/>
    <mergeCell ref="E55:F55"/>
    <mergeCell ref="E56:F56"/>
    <mergeCell ref="E57:F57"/>
    <mergeCell ref="A159:C159"/>
    <mergeCell ref="A160:B160"/>
    <mergeCell ref="A161:B161"/>
    <mergeCell ref="A162:B162"/>
    <mergeCell ref="A164:C164"/>
    <mergeCell ref="A152:B152"/>
    <mergeCell ref="A154:C154"/>
    <mergeCell ref="A155:B155"/>
    <mergeCell ref="A156:B156"/>
    <mergeCell ref="A157:B157"/>
    <mergeCell ref="A146:B146"/>
    <mergeCell ref="A147:B147"/>
    <mergeCell ref="A149:C149"/>
    <mergeCell ref="A150:B150"/>
    <mergeCell ref="A151:B151"/>
    <mergeCell ref="A140:B140"/>
    <mergeCell ref="E90:F90"/>
    <mergeCell ref="E91:F91"/>
    <mergeCell ref="E92:F92"/>
    <mergeCell ref="E94:G94"/>
    <mergeCell ref="E95:F95"/>
    <mergeCell ref="E84:G84"/>
    <mergeCell ref="E85:F85"/>
    <mergeCell ref="E86:F86"/>
    <mergeCell ref="E87:F87"/>
    <mergeCell ref="E89:G89"/>
    <mergeCell ref="E77:F77"/>
    <mergeCell ref="E79:G79"/>
    <mergeCell ref="E80:F80"/>
    <mergeCell ref="E81:F81"/>
    <mergeCell ref="E82:F82"/>
    <mergeCell ref="E71:F71"/>
    <mergeCell ref="E72:F72"/>
    <mergeCell ref="E74:G74"/>
    <mergeCell ref="E75:F75"/>
    <mergeCell ref="E76:F76"/>
    <mergeCell ref="E115:F115"/>
    <mergeCell ref="E116:F116"/>
    <mergeCell ref="E117:F117"/>
    <mergeCell ref="E119:G119"/>
    <mergeCell ref="E120:F120"/>
    <mergeCell ref="E109:G109"/>
    <mergeCell ref="E110:F110"/>
    <mergeCell ref="E111:F111"/>
    <mergeCell ref="E112:F112"/>
    <mergeCell ref="E114:G114"/>
    <mergeCell ref="E102:F102"/>
    <mergeCell ref="E104:G104"/>
    <mergeCell ref="E105:F105"/>
    <mergeCell ref="E106:F106"/>
    <mergeCell ref="E107:F107"/>
    <mergeCell ref="E96:F96"/>
    <mergeCell ref="E97:F97"/>
    <mergeCell ref="E99:G99"/>
    <mergeCell ref="E100:F100"/>
    <mergeCell ref="E101:F101"/>
    <mergeCell ref="E141:F141"/>
    <mergeCell ref="E142:F142"/>
    <mergeCell ref="E144:G144"/>
    <mergeCell ref="E145:F145"/>
    <mergeCell ref="E134:G134"/>
    <mergeCell ref="E135:F135"/>
    <mergeCell ref="E136:F136"/>
    <mergeCell ref="E137:F137"/>
    <mergeCell ref="E139:G139"/>
    <mergeCell ref="E127:F127"/>
    <mergeCell ref="E129:G129"/>
    <mergeCell ref="E130:F130"/>
    <mergeCell ref="E131:F131"/>
    <mergeCell ref="E132:F132"/>
    <mergeCell ref="E121:F121"/>
    <mergeCell ref="E122:F122"/>
    <mergeCell ref="E124:G124"/>
    <mergeCell ref="E125:F125"/>
    <mergeCell ref="E126:F126"/>
    <mergeCell ref="I69:K69"/>
    <mergeCell ref="I70:J70"/>
    <mergeCell ref="I71:J71"/>
    <mergeCell ref="I72:J72"/>
    <mergeCell ref="I74:K74"/>
    <mergeCell ref="E159:G159"/>
    <mergeCell ref="E160:F160"/>
    <mergeCell ref="E161:F161"/>
    <mergeCell ref="E162:F162"/>
    <mergeCell ref="I54:K54"/>
    <mergeCell ref="I55:J55"/>
    <mergeCell ref="I56:J56"/>
    <mergeCell ref="I57:J57"/>
    <mergeCell ref="I59:K59"/>
    <mergeCell ref="I60:J60"/>
    <mergeCell ref="I61:J61"/>
    <mergeCell ref="I62:J62"/>
    <mergeCell ref="I64:K64"/>
    <mergeCell ref="I65:J65"/>
    <mergeCell ref="I66:J66"/>
    <mergeCell ref="I67:J67"/>
    <mergeCell ref="E152:F152"/>
    <mergeCell ref="E154:G154"/>
    <mergeCell ref="E155:F155"/>
    <mergeCell ref="E156:F156"/>
    <mergeCell ref="E157:F157"/>
    <mergeCell ref="E146:F146"/>
    <mergeCell ref="E147:F147"/>
    <mergeCell ref="E149:G149"/>
    <mergeCell ref="E150:F150"/>
    <mergeCell ref="E151:F151"/>
    <mergeCell ref="E140:F140"/>
    <mergeCell ref="I94:K94"/>
    <mergeCell ref="I95:J95"/>
    <mergeCell ref="I96:J96"/>
    <mergeCell ref="I97:J97"/>
    <mergeCell ref="I99:K99"/>
    <mergeCell ref="I87:J87"/>
    <mergeCell ref="I89:K89"/>
    <mergeCell ref="I90:J90"/>
    <mergeCell ref="I91:J91"/>
    <mergeCell ref="I92:J92"/>
    <mergeCell ref="I81:J81"/>
    <mergeCell ref="I82:J82"/>
    <mergeCell ref="I84:K84"/>
    <mergeCell ref="I85:J85"/>
    <mergeCell ref="I86:J86"/>
    <mergeCell ref="I75:J75"/>
    <mergeCell ref="I76:J76"/>
    <mergeCell ref="I77:J77"/>
    <mergeCell ref="I79:K79"/>
    <mergeCell ref="I80:J80"/>
    <mergeCell ref="I119:K119"/>
    <mergeCell ref="I120:J120"/>
    <mergeCell ref="I121:J121"/>
    <mergeCell ref="I122:J122"/>
    <mergeCell ref="I124:K124"/>
    <mergeCell ref="I112:J112"/>
    <mergeCell ref="I114:K114"/>
    <mergeCell ref="I115:J115"/>
    <mergeCell ref="I116:J116"/>
    <mergeCell ref="I117:J117"/>
    <mergeCell ref="I106:J106"/>
    <mergeCell ref="I107:J107"/>
    <mergeCell ref="I109:K109"/>
    <mergeCell ref="I110:J110"/>
    <mergeCell ref="I111:J111"/>
    <mergeCell ref="I100:J100"/>
    <mergeCell ref="I101:J101"/>
    <mergeCell ref="I102:J102"/>
    <mergeCell ref="I104:K104"/>
    <mergeCell ref="I105:J105"/>
    <mergeCell ref="I165:J165"/>
    <mergeCell ref="I166:J166"/>
    <mergeCell ref="I167:J167"/>
    <mergeCell ref="I156:J156"/>
    <mergeCell ref="I157:J157"/>
    <mergeCell ref="I159:K159"/>
    <mergeCell ref="I160:J160"/>
    <mergeCell ref="I161:J161"/>
    <mergeCell ref="I150:J150"/>
    <mergeCell ref="I151:J151"/>
    <mergeCell ref="I152:J152"/>
    <mergeCell ref="I154:K154"/>
    <mergeCell ref="I155:J155"/>
    <mergeCell ref="I144:K144"/>
    <mergeCell ref="I145:J145"/>
    <mergeCell ref="I146:J146"/>
    <mergeCell ref="I147:J147"/>
    <mergeCell ref="I149:K149"/>
    <mergeCell ref="M74:O74"/>
    <mergeCell ref="M75:N75"/>
    <mergeCell ref="M76:N76"/>
    <mergeCell ref="M77:N77"/>
    <mergeCell ref="M79:O79"/>
    <mergeCell ref="M67:N67"/>
    <mergeCell ref="M69:O69"/>
    <mergeCell ref="M70:N70"/>
    <mergeCell ref="M71:N71"/>
    <mergeCell ref="M72:N72"/>
    <mergeCell ref="I52:J52"/>
    <mergeCell ref="M62:N62"/>
    <mergeCell ref="M64:O64"/>
    <mergeCell ref="M65:N65"/>
    <mergeCell ref="M66:N66"/>
    <mergeCell ref="I162:J162"/>
    <mergeCell ref="I164:K164"/>
    <mergeCell ref="I137:J137"/>
    <mergeCell ref="I139:K139"/>
    <mergeCell ref="I140:J140"/>
    <mergeCell ref="I141:J141"/>
    <mergeCell ref="I142:J142"/>
    <mergeCell ref="I131:J131"/>
    <mergeCell ref="I132:J132"/>
    <mergeCell ref="I134:K134"/>
    <mergeCell ref="I135:J135"/>
    <mergeCell ref="I136:J136"/>
    <mergeCell ref="I125:J125"/>
    <mergeCell ref="I126:J126"/>
    <mergeCell ref="I127:J127"/>
    <mergeCell ref="I129:K129"/>
    <mergeCell ref="I130:J130"/>
    <mergeCell ref="M99:O99"/>
    <mergeCell ref="M100:N100"/>
    <mergeCell ref="M101:N101"/>
    <mergeCell ref="M102:N102"/>
    <mergeCell ref="M104:O104"/>
    <mergeCell ref="M92:N92"/>
    <mergeCell ref="M94:O94"/>
    <mergeCell ref="M95:N95"/>
    <mergeCell ref="M96:N96"/>
    <mergeCell ref="M97:N97"/>
    <mergeCell ref="M86:N86"/>
    <mergeCell ref="M87:N87"/>
    <mergeCell ref="M89:O89"/>
    <mergeCell ref="M90:N90"/>
    <mergeCell ref="M91:N91"/>
    <mergeCell ref="M80:N80"/>
    <mergeCell ref="M81:N81"/>
    <mergeCell ref="M82:N82"/>
    <mergeCell ref="M84:O84"/>
    <mergeCell ref="M85:N85"/>
    <mergeCell ref="M124:O124"/>
    <mergeCell ref="M125:N125"/>
    <mergeCell ref="M126:N126"/>
    <mergeCell ref="M127:N127"/>
    <mergeCell ref="M129:O129"/>
    <mergeCell ref="M117:N117"/>
    <mergeCell ref="M119:O119"/>
    <mergeCell ref="M120:N120"/>
    <mergeCell ref="M121:N121"/>
    <mergeCell ref="M122:N122"/>
    <mergeCell ref="M111:N111"/>
    <mergeCell ref="M112:N112"/>
    <mergeCell ref="M114:O114"/>
    <mergeCell ref="M115:N115"/>
    <mergeCell ref="M116:N116"/>
    <mergeCell ref="M105:N105"/>
    <mergeCell ref="M106:N106"/>
    <mergeCell ref="M107:N107"/>
    <mergeCell ref="M109:O109"/>
    <mergeCell ref="M110:N110"/>
    <mergeCell ref="M170:N170"/>
    <mergeCell ref="M171:N171"/>
    <mergeCell ref="M172:N172"/>
    <mergeCell ref="M161:N161"/>
    <mergeCell ref="M162:N162"/>
    <mergeCell ref="M164:O164"/>
    <mergeCell ref="M165:N165"/>
    <mergeCell ref="M166:N166"/>
    <mergeCell ref="M155:N155"/>
    <mergeCell ref="M156:N156"/>
    <mergeCell ref="M157:N157"/>
    <mergeCell ref="M159:O159"/>
    <mergeCell ref="M160:N160"/>
    <mergeCell ref="M130:N130"/>
    <mergeCell ref="M131:N131"/>
    <mergeCell ref="M132:N132"/>
    <mergeCell ref="M134:O134"/>
    <mergeCell ref="M135:N135"/>
    <mergeCell ref="M167:N167"/>
    <mergeCell ref="M169:O169"/>
    <mergeCell ref="M149:O149"/>
    <mergeCell ref="M150:N150"/>
    <mergeCell ref="M151:N151"/>
    <mergeCell ref="M152:N152"/>
    <mergeCell ref="M154:O154"/>
    <mergeCell ref="M142:N142"/>
    <mergeCell ref="M144:O144"/>
    <mergeCell ref="M145:N145"/>
    <mergeCell ref="M146:N146"/>
    <mergeCell ref="M147:N147"/>
    <mergeCell ref="M136:N136"/>
    <mergeCell ref="M137:N137"/>
    <mergeCell ref="M139:O139"/>
    <mergeCell ref="M140:N140"/>
    <mergeCell ref="M141:N141"/>
    <mergeCell ref="Q87:R87"/>
    <mergeCell ref="Q89:S89"/>
    <mergeCell ref="Q90:R90"/>
    <mergeCell ref="Q91:R91"/>
    <mergeCell ref="Q92:R92"/>
    <mergeCell ref="Q81:R81"/>
    <mergeCell ref="Q82:R82"/>
    <mergeCell ref="Q84:S84"/>
    <mergeCell ref="Q85:R85"/>
    <mergeCell ref="Q86:R86"/>
    <mergeCell ref="Q75:R75"/>
    <mergeCell ref="Q76:R76"/>
    <mergeCell ref="Q77:R77"/>
    <mergeCell ref="Q79:S79"/>
    <mergeCell ref="Q80:R80"/>
    <mergeCell ref="Q72:R72"/>
    <mergeCell ref="Q74:S74"/>
    <mergeCell ref="Q112:R112"/>
    <mergeCell ref="Q114:S114"/>
    <mergeCell ref="Q115:R115"/>
    <mergeCell ref="Q116:R116"/>
    <mergeCell ref="Q117:R117"/>
    <mergeCell ref="Q106:R106"/>
    <mergeCell ref="Q107:R107"/>
    <mergeCell ref="Q109:S109"/>
    <mergeCell ref="Q110:R110"/>
    <mergeCell ref="Q111:R111"/>
    <mergeCell ref="Q100:R100"/>
    <mergeCell ref="Q101:R101"/>
    <mergeCell ref="Q102:R102"/>
    <mergeCell ref="Q104:S104"/>
    <mergeCell ref="Q105:R105"/>
    <mergeCell ref="Q94:S94"/>
    <mergeCell ref="Q95:R95"/>
    <mergeCell ref="Q96:R96"/>
    <mergeCell ref="Q97:R97"/>
    <mergeCell ref="Q99:S99"/>
    <mergeCell ref="Q137:R137"/>
    <mergeCell ref="Q139:S139"/>
    <mergeCell ref="Q140:R140"/>
    <mergeCell ref="Q141:R141"/>
    <mergeCell ref="Q142:R142"/>
    <mergeCell ref="Q131:R131"/>
    <mergeCell ref="Q132:R132"/>
    <mergeCell ref="Q134:S134"/>
    <mergeCell ref="Q135:R135"/>
    <mergeCell ref="Q136:R136"/>
    <mergeCell ref="Q125:R125"/>
    <mergeCell ref="Q126:R126"/>
    <mergeCell ref="Q127:R127"/>
    <mergeCell ref="Q129:S129"/>
    <mergeCell ref="Q130:R130"/>
    <mergeCell ref="Q119:S119"/>
    <mergeCell ref="Q120:R120"/>
    <mergeCell ref="Q121:R121"/>
    <mergeCell ref="Q122:R122"/>
    <mergeCell ref="Q124:S124"/>
    <mergeCell ref="Q164:S164"/>
    <mergeCell ref="Q165:R165"/>
    <mergeCell ref="Q166:R166"/>
    <mergeCell ref="Q167:R167"/>
    <mergeCell ref="Q156:R156"/>
    <mergeCell ref="Q157:R157"/>
    <mergeCell ref="Q159:S159"/>
    <mergeCell ref="Q160:R160"/>
    <mergeCell ref="Q161:R161"/>
    <mergeCell ref="Q150:R150"/>
    <mergeCell ref="Q151:R151"/>
    <mergeCell ref="Q152:R152"/>
    <mergeCell ref="Q154:S154"/>
    <mergeCell ref="Q155:R155"/>
    <mergeCell ref="Q144:S144"/>
    <mergeCell ref="Q145:R145"/>
    <mergeCell ref="Q146:R146"/>
    <mergeCell ref="Q147:R147"/>
    <mergeCell ref="Q149:S149"/>
    <mergeCell ref="U106:V106"/>
    <mergeCell ref="U107:V107"/>
    <mergeCell ref="U109:W109"/>
    <mergeCell ref="U110:V110"/>
    <mergeCell ref="U111:V111"/>
    <mergeCell ref="U100:V100"/>
    <mergeCell ref="U101:V101"/>
    <mergeCell ref="U102:V102"/>
    <mergeCell ref="U104:W104"/>
    <mergeCell ref="U105:V105"/>
    <mergeCell ref="Q175:R175"/>
    <mergeCell ref="Q176:R176"/>
    <mergeCell ref="Q177:R177"/>
    <mergeCell ref="U84:W84"/>
    <mergeCell ref="U85:V85"/>
    <mergeCell ref="U86:V86"/>
    <mergeCell ref="U87:V87"/>
    <mergeCell ref="U89:W89"/>
    <mergeCell ref="U90:V90"/>
    <mergeCell ref="U91:V91"/>
    <mergeCell ref="U92:V92"/>
    <mergeCell ref="U94:W94"/>
    <mergeCell ref="U95:V95"/>
    <mergeCell ref="U96:V96"/>
    <mergeCell ref="U97:V97"/>
    <mergeCell ref="U99:W99"/>
    <mergeCell ref="Q169:S169"/>
    <mergeCell ref="Q170:R170"/>
    <mergeCell ref="Q171:R171"/>
    <mergeCell ref="Q172:R172"/>
    <mergeCell ref="Q174:S174"/>
    <mergeCell ref="Q162:R162"/>
    <mergeCell ref="U131:V131"/>
    <mergeCell ref="U132:V132"/>
    <mergeCell ref="U134:W134"/>
    <mergeCell ref="U135:V135"/>
    <mergeCell ref="U136:V136"/>
    <mergeCell ref="U125:V125"/>
    <mergeCell ref="U126:V126"/>
    <mergeCell ref="U127:V127"/>
    <mergeCell ref="U129:W129"/>
    <mergeCell ref="U130:V130"/>
    <mergeCell ref="U119:W119"/>
    <mergeCell ref="U120:V120"/>
    <mergeCell ref="U121:V121"/>
    <mergeCell ref="U122:V122"/>
    <mergeCell ref="U124:W124"/>
    <mergeCell ref="U112:V112"/>
    <mergeCell ref="U114:W114"/>
    <mergeCell ref="U115:V115"/>
    <mergeCell ref="U116:V116"/>
    <mergeCell ref="U117:V117"/>
    <mergeCell ref="U159:W159"/>
    <mergeCell ref="U160:V160"/>
    <mergeCell ref="U161:V161"/>
    <mergeCell ref="U150:V150"/>
    <mergeCell ref="U151:V151"/>
    <mergeCell ref="U152:V152"/>
    <mergeCell ref="U154:W154"/>
    <mergeCell ref="U155:V155"/>
    <mergeCell ref="U144:W144"/>
    <mergeCell ref="U145:V145"/>
    <mergeCell ref="U146:V146"/>
    <mergeCell ref="U147:V147"/>
    <mergeCell ref="U149:W149"/>
    <mergeCell ref="U137:V137"/>
    <mergeCell ref="U139:W139"/>
    <mergeCell ref="U140:V140"/>
    <mergeCell ref="U141:V141"/>
    <mergeCell ref="U142:V142"/>
    <mergeCell ref="U181:V181"/>
    <mergeCell ref="U182:V182"/>
    <mergeCell ref="Y94:AA94"/>
    <mergeCell ref="Y95:Z95"/>
    <mergeCell ref="Y96:Z96"/>
    <mergeCell ref="Y97:Z97"/>
    <mergeCell ref="Y99:AA99"/>
    <mergeCell ref="Y100:Z100"/>
    <mergeCell ref="Y101:Z101"/>
    <mergeCell ref="Y102:Z102"/>
    <mergeCell ref="Y104:AA104"/>
    <mergeCell ref="Y105:Z105"/>
    <mergeCell ref="Y106:Z106"/>
    <mergeCell ref="Y107:Z107"/>
    <mergeCell ref="Y109:AA109"/>
    <mergeCell ref="U175:V175"/>
    <mergeCell ref="U176:V176"/>
    <mergeCell ref="U177:V177"/>
    <mergeCell ref="U179:W179"/>
    <mergeCell ref="U180:V180"/>
    <mergeCell ref="U169:W169"/>
    <mergeCell ref="U170:V170"/>
    <mergeCell ref="U171:V171"/>
    <mergeCell ref="U172:V172"/>
    <mergeCell ref="U174:W174"/>
    <mergeCell ref="U162:V162"/>
    <mergeCell ref="U164:W164"/>
    <mergeCell ref="U165:V165"/>
    <mergeCell ref="U166:V166"/>
    <mergeCell ref="U167:V167"/>
    <mergeCell ref="U156:V156"/>
    <mergeCell ref="U157:V157"/>
    <mergeCell ref="Y144:AA144"/>
    <mergeCell ref="Y145:Z145"/>
    <mergeCell ref="Y146:Z146"/>
    <mergeCell ref="Y135:Z135"/>
    <mergeCell ref="Y136:Z136"/>
    <mergeCell ref="Y137:Z137"/>
    <mergeCell ref="Y139:AA139"/>
    <mergeCell ref="Y140:Z140"/>
    <mergeCell ref="Y127:Z127"/>
    <mergeCell ref="Y116:Z116"/>
    <mergeCell ref="Y117:Z117"/>
    <mergeCell ref="Y119:AA119"/>
    <mergeCell ref="Y120:Z120"/>
    <mergeCell ref="Y121:Z121"/>
    <mergeCell ref="Y110:Z110"/>
    <mergeCell ref="Y111:Z111"/>
    <mergeCell ref="Y112:Z112"/>
    <mergeCell ref="Y114:AA114"/>
    <mergeCell ref="Y115:Z115"/>
    <mergeCell ref="Y186:Z186"/>
    <mergeCell ref="Y187:Z187"/>
    <mergeCell ref="AC104:AE104"/>
    <mergeCell ref="AC105:AD105"/>
    <mergeCell ref="AC106:AD106"/>
    <mergeCell ref="AC107:AD107"/>
    <mergeCell ref="AC109:AE109"/>
    <mergeCell ref="AC110:AD110"/>
    <mergeCell ref="AC111:AD111"/>
    <mergeCell ref="AC112:AD112"/>
    <mergeCell ref="AC114:AE114"/>
    <mergeCell ref="AC115:AD115"/>
    <mergeCell ref="AC116:AD116"/>
    <mergeCell ref="AC117:AD117"/>
    <mergeCell ref="AC119:AE119"/>
    <mergeCell ref="Y179:AA179"/>
    <mergeCell ref="Y180:Z180"/>
    <mergeCell ref="Y181:Z181"/>
    <mergeCell ref="Y182:Z182"/>
    <mergeCell ref="Y184:AA184"/>
    <mergeCell ref="Y172:Z172"/>
    <mergeCell ref="Y174:AA174"/>
    <mergeCell ref="Y175:Z175"/>
    <mergeCell ref="Y176:Z176"/>
    <mergeCell ref="Y177:Z177"/>
    <mergeCell ref="Y166:Z166"/>
    <mergeCell ref="Y167:Z167"/>
    <mergeCell ref="Y169:AA169"/>
    <mergeCell ref="Y170:Z170"/>
    <mergeCell ref="Y171:Z171"/>
    <mergeCell ref="Y160:Z160"/>
    <mergeCell ref="Y161:Z161"/>
    <mergeCell ref="AC139:AE139"/>
    <mergeCell ref="AC140:AD140"/>
    <mergeCell ref="AC141:AD141"/>
    <mergeCell ref="AC142:AD142"/>
    <mergeCell ref="AC144:AE144"/>
    <mergeCell ref="AC137:AD137"/>
    <mergeCell ref="AC126:AD126"/>
    <mergeCell ref="AC127:AD127"/>
    <mergeCell ref="AC129:AE129"/>
    <mergeCell ref="AC130:AD130"/>
    <mergeCell ref="AC131:AD131"/>
    <mergeCell ref="AC120:AD120"/>
    <mergeCell ref="AC121:AD121"/>
    <mergeCell ref="AC122:AD122"/>
    <mergeCell ref="AC124:AE124"/>
    <mergeCell ref="AC125:AD125"/>
    <mergeCell ref="Y185:Z185"/>
    <mergeCell ref="Y162:Z162"/>
    <mergeCell ref="Y164:AA164"/>
    <mergeCell ref="Y165:Z165"/>
    <mergeCell ref="Y154:AA154"/>
    <mergeCell ref="Y155:Z155"/>
    <mergeCell ref="Y156:Z156"/>
    <mergeCell ref="Y157:Z157"/>
    <mergeCell ref="Y159:AA159"/>
    <mergeCell ref="Y147:Z147"/>
    <mergeCell ref="Y149:AA149"/>
    <mergeCell ref="Y150:Z150"/>
    <mergeCell ref="Y151:Z151"/>
    <mergeCell ref="Y152:Z152"/>
    <mergeCell ref="Y141:Z141"/>
    <mergeCell ref="Y142:Z142"/>
    <mergeCell ref="AC175:AD175"/>
    <mergeCell ref="AC164:AE164"/>
    <mergeCell ref="AC165:AD165"/>
    <mergeCell ref="AC166:AD166"/>
    <mergeCell ref="AC167:AD167"/>
    <mergeCell ref="AC169:AE169"/>
    <mergeCell ref="AC157:AD157"/>
    <mergeCell ref="AC159:AE159"/>
    <mergeCell ref="AC160:AD160"/>
    <mergeCell ref="AC161:AD161"/>
    <mergeCell ref="AC162:AD162"/>
    <mergeCell ref="AC151:AD151"/>
    <mergeCell ref="AC152:AD152"/>
    <mergeCell ref="AC154:AE154"/>
    <mergeCell ref="AC155:AD155"/>
    <mergeCell ref="AC156:AD156"/>
    <mergeCell ref="AC145:AD145"/>
    <mergeCell ref="AC146:AD146"/>
    <mergeCell ref="AC147:AD147"/>
    <mergeCell ref="AC149:AE149"/>
    <mergeCell ref="AC150:AD150"/>
    <mergeCell ref="Y125:Z125"/>
    <mergeCell ref="Y126:Z126"/>
    <mergeCell ref="AC189:AE189"/>
    <mergeCell ref="AC190:AD190"/>
    <mergeCell ref="AC191:AD191"/>
    <mergeCell ref="AC192:AD192"/>
    <mergeCell ref="AG114:AI114"/>
    <mergeCell ref="AG117:AH117"/>
    <mergeCell ref="AG119:AI119"/>
    <mergeCell ref="AG120:AH120"/>
    <mergeCell ref="AG121:AH121"/>
    <mergeCell ref="AG122:AH122"/>
    <mergeCell ref="AG124:AI124"/>
    <mergeCell ref="AG125:AH125"/>
    <mergeCell ref="AG126:AH126"/>
    <mergeCell ref="AG127:AH127"/>
    <mergeCell ref="AG129:AI129"/>
    <mergeCell ref="AG130:AH130"/>
    <mergeCell ref="AC182:AD182"/>
    <mergeCell ref="AC184:AE184"/>
    <mergeCell ref="AC185:AD185"/>
    <mergeCell ref="AC186:AD186"/>
    <mergeCell ref="AC187:AD187"/>
    <mergeCell ref="AC176:AD176"/>
    <mergeCell ref="AC177:AD177"/>
    <mergeCell ref="AC179:AE179"/>
    <mergeCell ref="AC180:AD180"/>
    <mergeCell ref="AC181:AD181"/>
    <mergeCell ref="AC170:AD170"/>
    <mergeCell ref="AC171:AD171"/>
    <mergeCell ref="AC172:AD172"/>
    <mergeCell ref="AC174:AE174"/>
    <mergeCell ref="AG144:AI144"/>
    <mergeCell ref="AG145:AH145"/>
    <mergeCell ref="AG146:AH146"/>
    <mergeCell ref="AG147:AH147"/>
    <mergeCell ref="AG149:AI149"/>
    <mergeCell ref="AG137:AH137"/>
    <mergeCell ref="AG139:AI139"/>
    <mergeCell ref="AG140:AH140"/>
    <mergeCell ref="AG141:AH141"/>
    <mergeCell ref="AG142:AH142"/>
    <mergeCell ref="AG131:AH131"/>
    <mergeCell ref="AG132:AH132"/>
    <mergeCell ref="AG134:AI134"/>
    <mergeCell ref="AG135:AH135"/>
    <mergeCell ref="AG136:AH136"/>
    <mergeCell ref="U82:V82"/>
    <mergeCell ref="Y92:Z92"/>
    <mergeCell ref="AC102:AD102"/>
    <mergeCell ref="AG115:AH115"/>
    <mergeCell ref="AG116:AH116"/>
    <mergeCell ref="AG112:AH112"/>
    <mergeCell ref="AC132:AD132"/>
    <mergeCell ref="AC134:AE134"/>
    <mergeCell ref="AC135:AD135"/>
    <mergeCell ref="AC136:AD136"/>
    <mergeCell ref="Y129:AA129"/>
    <mergeCell ref="Y130:Z130"/>
    <mergeCell ref="Y131:Z131"/>
    <mergeCell ref="Y132:Z132"/>
    <mergeCell ref="Y134:AA134"/>
    <mergeCell ref="Y122:Z122"/>
    <mergeCell ref="Y124:AA124"/>
    <mergeCell ref="AG169:AI169"/>
    <mergeCell ref="AG170:AH170"/>
    <mergeCell ref="AG171:AH171"/>
    <mergeCell ref="AG172:AH172"/>
    <mergeCell ref="AG174:AI174"/>
    <mergeCell ref="AG162:AH162"/>
    <mergeCell ref="AG164:AI164"/>
    <mergeCell ref="AG165:AH165"/>
    <mergeCell ref="AG166:AH166"/>
    <mergeCell ref="AG167:AH167"/>
    <mergeCell ref="AG156:AH156"/>
    <mergeCell ref="AG157:AH157"/>
    <mergeCell ref="AG159:AI159"/>
    <mergeCell ref="AG160:AH160"/>
    <mergeCell ref="AG161:AH161"/>
    <mergeCell ref="AG150:AH150"/>
    <mergeCell ref="AG151:AH151"/>
    <mergeCell ref="AG152:AH152"/>
    <mergeCell ref="AG154:AI154"/>
    <mergeCell ref="AG155:AH155"/>
    <mergeCell ref="AG194:AI194"/>
    <mergeCell ref="AG195:AH195"/>
    <mergeCell ref="AG196:AH196"/>
    <mergeCell ref="AG197:AH197"/>
    <mergeCell ref="AG187:AH187"/>
    <mergeCell ref="AG189:AI189"/>
    <mergeCell ref="AG190:AH190"/>
    <mergeCell ref="AG191:AH191"/>
    <mergeCell ref="AG192:AH192"/>
    <mergeCell ref="AG181:AH181"/>
    <mergeCell ref="AG182:AH182"/>
    <mergeCell ref="AG184:AI184"/>
    <mergeCell ref="AG185:AH185"/>
    <mergeCell ref="AG186:AH186"/>
    <mergeCell ref="AG175:AH175"/>
    <mergeCell ref="AG176:AH176"/>
    <mergeCell ref="AG177:AH177"/>
    <mergeCell ref="AG179:AI179"/>
    <mergeCell ref="AG180:AH180"/>
    <mergeCell ref="AW165:AX165"/>
    <mergeCell ref="AW166:AX166"/>
    <mergeCell ref="AW167:AX167"/>
    <mergeCell ref="AW169:AY169"/>
    <mergeCell ref="AW170:AX170"/>
    <mergeCell ref="AW171:AX171"/>
    <mergeCell ref="AW172:AX172"/>
    <mergeCell ref="AW174:AY174"/>
    <mergeCell ref="AW175:AX175"/>
    <mergeCell ref="AW154:AY154"/>
    <mergeCell ref="AW155:AX155"/>
    <mergeCell ref="AW156:AX156"/>
    <mergeCell ref="AW157:AX157"/>
    <mergeCell ref="AW159:AY159"/>
    <mergeCell ref="AW160:AX160"/>
    <mergeCell ref="AW161:AX161"/>
    <mergeCell ref="AW162:AX162"/>
    <mergeCell ref="AW164:AY164"/>
    <mergeCell ref="AW209:AY209"/>
    <mergeCell ref="AW187:AX187"/>
    <mergeCell ref="AW189:AY189"/>
    <mergeCell ref="AW190:AX190"/>
    <mergeCell ref="AW191:AX191"/>
    <mergeCell ref="AW192:AX192"/>
    <mergeCell ref="AW194:AY194"/>
    <mergeCell ref="AW195:AX195"/>
    <mergeCell ref="AW196:AX196"/>
    <mergeCell ref="AW197:AX197"/>
    <mergeCell ref="AW176:AX176"/>
    <mergeCell ref="AW177:AX177"/>
    <mergeCell ref="AW179:AY179"/>
    <mergeCell ref="AW180:AX180"/>
    <mergeCell ref="AW181:AX181"/>
    <mergeCell ref="AW182:AX182"/>
    <mergeCell ref="AW184:AY184"/>
    <mergeCell ref="AW185:AX185"/>
    <mergeCell ref="AW186:AX186"/>
    <mergeCell ref="AW210:AX210"/>
    <mergeCell ref="AW211:AX211"/>
    <mergeCell ref="AW212:AX212"/>
    <mergeCell ref="AW214:AY214"/>
    <mergeCell ref="AW215:AX215"/>
    <mergeCell ref="AW216:AX216"/>
    <mergeCell ref="AW217:AX217"/>
    <mergeCell ref="BA164:BC164"/>
    <mergeCell ref="BA165:BB165"/>
    <mergeCell ref="BA166:BB166"/>
    <mergeCell ref="BA167:BB167"/>
    <mergeCell ref="BA169:BC169"/>
    <mergeCell ref="BA170:BB170"/>
    <mergeCell ref="BA171:BB171"/>
    <mergeCell ref="BA172:BB172"/>
    <mergeCell ref="BA174:BC174"/>
    <mergeCell ref="BA175:BB175"/>
    <mergeCell ref="BA176:BB176"/>
    <mergeCell ref="BA177:BB177"/>
    <mergeCell ref="BA179:BC179"/>
    <mergeCell ref="BA180:BB180"/>
    <mergeCell ref="BA181:BB181"/>
    <mergeCell ref="BA182:BB182"/>
    <mergeCell ref="BA184:BC184"/>
    <mergeCell ref="AW199:AY199"/>
    <mergeCell ref="AW200:AX200"/>
    <mergeCell ref="AW201:AX201"/>
    <mergeCell ref="AW202:AX202"/>
    <mergeCell ref="AW204:AY204"/>
    <mergeCell ref="AW205:AX205"/>
    <mergeCell ref="AW206:AX206"/>
    <mergeCell ref="AW207:AX207"/>
    <mergeCell ref="BA217:BB217"/>
    <mergeCell ref="BA196:BB196"/>
    <mergeCell ref="BA197:BB197"/>
    <mergeCell ref="BA199:BC199"/>
    <mergeCell ref="BA200:BB200"/>
    <mergeCell ref="BA201:BB201"/>
    <mergeCell ref="BA202:BB202"/>
    <mergeCell ref="BA204:BC204"/>
    <mergeCell ref="BA205:BB205"/>
    <mergeCell ref="BA206:BB206"/>
    <mergeCell ref="BA185:BB185"/>
    <mergeCell ref="BA186:BB186"/>
    <mergeCell ref="BA187:BB187"/>
    <mergeCell ref="BA189:BC189"/>
    <mergeCell ref="BA190:BB190"/>
    <mergeCell ref="BA191:BB191"/>
    <mergeCell ref="BA192:BB192"/>
    <mergeCell ref="BA194:BC194"/>
    <mergeCell ref="BA195:BB195"/>
    <mergeCell ref="BA219:BC219"/>
    <mergeCell ref="BA220:BB220"/>
    <mergeCell ref="BA221:BB221"/>
    <mergeCell ref="BA222:BB222"/>
    <mergeCell ref="BE174:BG174"/>
    <mergeCell ref="BE175:BF175"/>
    <mergeCell ref="BE176:BF176"/>
    <mergeCell ref="BE177:BF177"/>
    <mergeCell ref="AK122:AL122"/>
    <mergeCell ref="AO132:AP132"/>
    <mergeCell ref="AS142:AT142"/>
    <mergeCell ref="AW152:AX152"/>
    <mergeCell ref="BA162:BB162"/>
    <mergeCell ref="BE172:BF172"/>
    <mergeCell ref="BE179:BG179"/>
    <mergeCell ref="BE180:BF180"/>
    <mergeCell ref="BE181:BF181"/>
    <mergeCell ref="BE182:BF182"/>
    <mergeCell ref="BE184:BG184"/>
    <mergeCell ref="BE185:BF185"/>
    <mergeCell ref="BE186:BF186"/>
    <mergeCell ref="BE187:BF187"/>
    <mergeCell ref="BE189:BG189"/>
    <mergeCell ref="BE190:BF190"/>
    <mergeCell ref="BA207:BB207"/>
    <mergeCell ref="BA209:BC209"/>
    <mergeCell ref="BA210:BB210"/>
    <mergeCell ref="BA211:BB211"/>
    <mergeCell ref="BA212:BB212"/>
    <mergeCell ref="BA214:BC214"/>
    <mergeCell ref="BA215:BB215"/>
    <mergeCell ref="BA216:BB216"/>
    <mergeCell ref="BE224:BG224"/>
    <mergeCell ref="BE202:BF202"/>
    <mergeCell ref="BE204:BG204"/>
    <mergeCell ref="BE205:BF205"/>
    <mergeCell ref="BE206:BF206"/>
    <mergeCell ref="BE207:BF207"/>
    <mergeCell ref="BE209:BG209"/>
    <mergeCell ref="BE210:BF210"/>
    <mergeCell ref="BE211:BF211"/>
    <mergeCell ref="BE212:BF212"/>
    <mergeCell ref="BE191:BF191"/>
    <mergeCell ref="BE192:BF192"/>
    <mergeCell ref="BE194:BG194"/>
    <mergeCell ref="BE195:BF195"/>
    <mergeCell ref="BE196:BF196"/>
    <mergeCell ref="BE197:BF197"/>
    <mergeCell ref="BE199:BG199"/>
    <mergeCell ref="BE200:BF200"/>
    <mergeCell ref="BE201:BF201"/>
    <mergeCell ref="BE225:BF225"/>
    <mergeCell ref="BE226:BF226"/>
    <mergeCell ref="BE227:BF227"/>
    <mergeCell ref="BI184:BK184"/>
    <mergeCell ref="BI185:BJ185"/>
    <mergeCell ref="BI186:BJ186"/>
    <mergeCell ref="BI187:BJ187"/>
    <mergeCell ref="BI182:BJ182"/>
    <mergeCell ref="BI189:BK189"/>
    <mergeCell ref="BI190:BJ190"/>
    <mergeCell ref="BI191:BJ191"/>
    <mergeCell ref="BI192:BJ192"/>
    <mergeCell ref="BI194:BK194"/>
    <mergeCell ref="BI195:BJ195"/>
    <mergeCell ref="BI196:BJ196"/>
    <mergeCell ref="BI197:BJ197"/>
    <mergeCell ref="BI199:BK199"/>
    <mergeCell ref="BI200:BJ200"/>
    <mergeCell ref="BI201:BJ201"/>
    <mergeCell ref="BI202:BJ202"/>
    <mergeCell ref="BI204:BK204"/>
    <mergeCell ref="BI205:BJ205"/>
    <mergeCell ref="BI206:BJ206"/>
    <mergeCell ref="BI207:BJ207"/>
    <mergeCell ref="BE214:BG214"/>
    <mergeCell ref="BE215:BF215"/>
    <mergeCell ref="BE216:BF216"/>
    <mergeCell ref="BE217:BF217"/>
    <mergeCell ref="BE219:BG219"/>
    <mergeCell ref="BE220:BF220"/>
    <mergeCell ref="BE221:BF221"/>
    <mergeCell ref="BE222:BF222"/>
    <mergeCell ref="BI231:BJ231"/>
    <mergeCell ref="BI232:BJ232"/>
    <mergeCell ref="BI220:BJ220"/>
    <mergeCell ref="BI221:BJ221"/>
    <mergeCell ref="BI222:BJ222"/>
    <mergeCell ref="BI224:BK224"/>
    <mergeCell ref="BI225:BJ225"/>
    <mergeCell ref="BI226:BJ226"/>
    <mergeCell ref="BI227:BJ227"/>
    <mergeCell ref="BI229:BK229"/>
    <mergeCell ref="BI230:BJ230"/>
    <mergeCell ref="BI209:BK209"/>
    <mergeCell ref="BI210:BJ210"/>
    <mergeCell ref="BI211:BJ211"/>
    <mergeCell ref="BI212:BJ212"/>
    <mergeCell ref="BI214:BK214"/>
    <mergeCell ref="BI215:BJ215"/>
    <mergeCell ref="BI216:BJ216"/>
    <mergeCell ref="BI217:BJ217"/>
    <mergeCell ref="BI219:BK2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2026-04-10T13:03:47Z</dcterms:created>
  <dcterms:modified xsi:type="dcterms:W3CDTF">2026-04-15T03:24:02Z</dcterms:modified>
  <cp:category/>
  <cp:contentStatus/>
</cp:coreProperties>
</file>