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ne\Downloads\"/>
    </mc:Choice>
  </mc:AlternateContent>
  <xr:revisionPtr revIDLastSave="0" documentId="8_{2F74978A-4CC4-4442-9742-757282B200EA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PCP" sheetId="7" r:id="rId1"/>
    <sheet name="Black_Scholes" sheetId="9" r:id="rId2"/>
    <sheet name="B&amp;S_Data " sheetId="8" r:id="rId3"/>
    <sheet name="binomial_inputs" sheetId="2" r:id="rId4"/>
    <sheet name="binomial_Base_model" sheetId="3" r:id="rId5"/>
    <sheet name="Binomial_Euro_opt" sheetId="4" r:id="rId6"/>
    <sheet name="binomial_Amer_opt" sheetId="5" r:id="rId7"/>
    <sheet name="Binomial_Results" sheetId="6" r:id="rId8"/>
    <sheet name="Final_results" sheetId="12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9" l="1"/>
  <c r="D39" i="9"/>
  <c r="E39" i="9"/>
  <c r="E41" i="9"/>
  <c r="B7" i="9"/>
  <c r="B9" i="9" s="1"/>
  <c r="C7" i="9"/>
  <c r="C28" i="9" s="1"/>
  <c r="D7" i="9"/>
  <c r="D16" i="9" s="1"/>
  <c r="H7" i="9"/>
  <c r="I7" i="9"/>
  <c r="J7" i="9"/>
  <c r="J9" i="9" s="1"/>
  <c r="H9" i="9"/>
  <c r="H12" i="9" s="1"/>
  <c r="I9" i="9"/>
  <c r="I10" i="9" s="1"/>
  <c r="H15" i="9"/>
  <c r="I15" i="9"/>
  <c r="H16" i="9"/>
  <c r="I16" i="9"/>
  <c r="B25" i="9"/>
  <c r="C25" i="9"/>
  <c r="D25" i="9"/>
  <c r="H25" i="9"/>
  <c r="I25" i="9"/>
  <c r="J25" i="9"/>
  <c r="H28" i="9"/>
  <c r="I28" i="9"/>
  <c r="J28" i="9"/>
  <c r="A17" i="8"/>
  <c r="J16" i="9" l="1"/>
  <c r="I13" i="9"/>
  <c r="I26" i="9"/>
  <c r="J12" i="9"/>
  <c r="J29" i="9"/>
  <c r="J10" i="9"/>
  <c r="B29" i="9"/>
  <c r="B10" i="9"/>
  <c r="B12" i="9"/>
  <c r="D15" i="9"/>
  <c r="D9" i="9"/>
  <c r="C15" i="9"/>
  <c r="H10" i="9"/>
  <c r="D28" i="9"/>
  <c r="I12" i="9"/>
  <c r="I18" i="9" s="1"/>
  <c r="C40" i="9" s="1"/>
  <c r="H29" i="9"/>
  <c r="C16" i="9"/>
  <c r="B28" i="9"/>
  <c r="B16" i="9"/>
  <c r="C9" i="9"/>
  <c r="I29" i="9"/>
  <c r="B15" i="9"/>
  <c r="J15" i="9"/>
  <c r="C35" i="7"/>
  <c r="C37" i="7"/>
  <c r="C43" i="7"/>
  <c r="D43" i="7"/>
  <c r="E43" i="7"/>
  <c r="C44" i="7"/>
  <c r="D44" i="7"/>
  <c r="E44" i="7"/>
  <c r="C45" i="7"/>
  <c r="D45" i="7"/>
  <c r="E45" i="7"/>
  <c r="C49" i="7"/>
  <c r="D49" i="7"/>
  <c r="E49" i="7"/>
  <c r="D69" i="7" s="1"/>
  <c r="C50" i="7"/>
  <c r="D50" i="7"/>
  <c r="E50" i="7" s="1"/>
  <c r="D70" i="7" s="1"/>
  <c r="C51" i="7"/>
  <c r="D51" i="7"/>
  <c r="E51" i="7"/>
  <c r="C56" i="7"/>
  <c r="D56" i="7"/>
  <c r="E56" i="7" s="1"/>
  <c r="C75" i="7" s="1"/>
  <c r="C57" i="7"/>
  <c r="D57" i="7"/>
  <c r="E57" i="7" s="1"/>
  <c r="C76" i="7" s="1"/>
  <c r="C58" i="7"/>
  <c r="D58" i="7"/>
  <c r="E58" i="7"/>
  <c r="C62" i="7"/>
  <c r="E62" i="7" s="1"/>
  <c r="D75" i="7" s="1"/>
  <c r="D62" i="7"/>
  <c r="F62" i="7"/>
  <c r="C63" i="7"/>
  <c r="E63" i="7" s="1"/>
  <c r="D76" i="7" s="1"/>
  <c r="D63" i="7"/>
  <c r="F63" i="7"/>
  <c r="C64" i="7"/>
  <c r="D64" i="7"/>
  <c r="E64" i="7"/>
  <c r="D77" i="7" s="1"/>
  <c r="F64" i="7"/>
  <c r="C69" i="7"/>
  <c r="C70" i="7"/>
  <c r="C71" i="7"/>
  <c r="D71" i="7"/>
  <c r="E75" i="7"/>
  <c r="E76" i="7"/>
  <c r="C77" i="7"/>
  <c r="E77" i="7"/>
  <c r="C3" i="4"/>
  <c r="C13" i="2"/>
  <c r="C19" i="2"/>
  <c r="A7" i="3"/>
  <c r="C4" i="4"/>
  <c r="C3" i="5"/>
  <c r="E5" i="6"/>
  <c r="E15" i="6"/>
  <c r="E16" i="6"/>
  <c r="E17" i="6"/>
  <c r="E18" i="6"/>
  <c r="E19" i="6"/>
  <c r="E14" i="6"/>
  <c r="E6" i="6"/>
  <c r="E7" i="6"/>
  <c r="E8" i="6"/>
  <c r="E9" i="6"/>
  <c r="E10" i="6"/>
  <c r="H13" i="9" l="1"/>
  <c r="H18" i="9" s="1"/>
  <c r="C39" i="9" s="1"/>
  <c r="H26" i="9"/>
  <c r="H31" i="9" s="1"/>
  <c r="J26" i="9"/>
  <c r="J31" i="9" s="1"/>
  <c r="J13" i="9"/>
  <c r="J18" i="9"/>
  <c r="C41" i="9" s="1"/>
  <c r="D12" i="9"/>
  <c r="D29" i="9"/>
  <c r="D10" i="9"/>
  <c r="C12" i="9"/>
  <c r="C29" i="9"/>
  <c r="C10" i="9"/>
  <c r="I31" i="9"/>
  <c r="E40" i="9" s="1"/>
  <c r="B26" i="9"/>
  <c r="B31" i="9" s="1"/>
  <c r="B13" i="9"/>
  <c r="B18" i="9" s="1"/>
  <c r="B39" i="9" s="1"/>
  <c r="C4" i="5"/>
  <c r="C14" i="2"/>
  <c r="C16" i="2"/>
  <c r="C7" i="3"/>
  <c r="C11" i="4" s="1"/>
  <c r="A11" i="5"/>
  <c r="A11" i="4"/>
  <c r="C26" i="9" l="1"/>
  <c r="C31" i="9" s="1"/>
  <c r="D40" i="9" s="1"/>
  <c r="C13" i="9"/>
  <c r="C18" i="9" s="1"/>
  <c r="B40" i="9" s="1"/>
  <c r="D26" i="9"/>
  <c r="D31" i="9" s="1"/>
  <c r="D13" i="9"/>
  <c r="D18" i="9" s="1"/>
  <c r="B41" i="9" s="1"/>
  <c r="B57" i="5"/>
  <c r="C11" i="5"/>
  <c r="B45" i="5"/>
  <c r="C15" i="2"/>
  <c r="C17" i="2" s="1"/>
  <c r="G13" i="3"/>
  <c r="E10" i="3"/>
  <c r="G10" i="3"/>
  <c r="G14" i="4" s="1"/>
  <c r="G7" i="3"/>
  <c r="E7" i="3"/>
  <c r="E11" i="4" l="1"/>
  <c r="E11" i="5"/>
  <c r="B28" i="5" s="1"/>
  <c r="G11" i="4"/>
  <c r="H11" i="4" s="1"/>
  <c r="G11" i="5"/>
  <c r="H11" i="5" s="1"/>
  <c r="G14" i="5"/>
  <c r="H14" i="5" s="1"/>
  <c r="B32" i="5" s="1"/>
  <c r="E14" i="4"/>
  <c r="E14" i="5"/>
  <c r="B33" i="5" s="1"/>
  <c r="G17" i="4"/>
  <c r="G17" i="5"/>
  <c r="H17" i="5" s="1"/>
  <c r="C18" i="2"/>
  <c r="G16" i="3"/>
  <c r="E13" i="3"/>
  <c r="C10" i="3"/>
  <c r="B27" i="5" l="1"/>
  <c r="H17" i="4"/>
  <c r="B29" i="4" s="1"/>
  <c r="H14" i="4"/>
  <c r="C14" i="4"/>
  <c r="C14" i="5"/>
  <c r="B50" i="5" s="1"/>
  <c r="E17" i="4"/>
  <c r="E17" i="5"/>
  <c r="B38" i="5" s="1"/>
  <c r="G20" i="4"/>
  <c r="H20" i="4" s="1"/>
  <c r="G20" i="5"/>
  <c r="H20" i="5" s="1"/>
  <c r="B37" i="5" s="1"/>
  <c r="B29" i="5"/>
  <c r="B34" i="5"/>
  <c r="B39" i="5" l="1"/>
  <c r="B49" i="5" s="1"/>
  <c r="B51" i="5" s="1"/>
  <c r="B28" i="4"/>
  <c r="B35" i="4" s="1"/>
  <c r="B44" i="5"/>
  <c r="B46" i="5" s="1"/>
  <c r="B27" i="4"/>
  <c r="B34" i="4" l="1"/>
  <c r="B40" i="4" s="1"/>
  <c r="C42" i="4" s="1"/>
  <c r="B56" i="5"/>
  <c r="B58" i="5" s="1"/>
  <c r="C61" i="5" s="1"/>
</calcChain>
</file>

<file path=xl/sharedStrings.xml><?xml version="1.0" encoding="utf-8"?>
<sst xmlns="http://schemas.openxmlformats.org/spreadsheetml/2006/main" count="381" uniqueCount="225">
  <si>
    <t>Input Parameters</t>
  </si>
  <si>
    <t>ITM</t>
  </si>
  <si>
    <t>ATM</t>
  </si>
  <si>
    <t>OTM</t>
  </si>
  <si>
    <t>Current Index (s):</t>
  </si>
  <si>
    <t>Strike Price</t>
  </si>
  <si>
    <t>Time to maturity (yrs):</t>
  </si>
  <si>
    <t xml:space="preserve">Options Type: </t>
  </si>
  <si>
    <t>call</t>
  </si>
  <si>
    <t>risk-free rate</t>
  </si>
  <si>
    <t>Call</t>
  </si>
  <si>
    <t>Put</t>
  </si>
  <si>
    <t>Dividend yield</t>
  </si>
  <si>
    <t>Volatility</t>
  </si>
  <si>
    <t>Euro index:</t>
  </si>
  <si>
    <t>Number of steps(n)</t>
  </si>
  <si>
    <t>Amer index:</t>
  </si>
  <si>
    <t>Binomial Parameters</t>
  </si>
  <si>
    <t>time per step</t>
  </si>
  <si>
    <t>up factor</t>
  </si>
  <si>
    <t>down factor</t>
  </si>
  <si>
    <t>growth factor</t>
  </si>
  <si>
    <t>risk- neutral prob</t>
  </si>
  <si>
    <t>1-p</t>
  </si>
  <si>
    <t>Discount factor per step</t>
  </si>
  <si>
    <t>Index Price tree</t>
  </si>
  <si>
    <t>steps:3</t>
  </si>
  <si>
    <t>Time = 0</t>
  </si>
  <si>
    <t>Time = 1</t>
  </si>
  <si>
    <t>Time =2</t>
  </si>
  <si>
    <t>Time = 3</t>
  </si>
  <si>
    <t>S00</t>
  </si>
  <si>
    <t>S11:</t>
  </si>
  <si>
    <t>S22</t>
  </si>
  <si>
    <t>S33</t>
  </si>
  <si>
    <t>S10:</t>
  </si>
  <si>
    <t>S21</t>
  </si>
  <si>
    <t>S32</t>
  </si>
  <si>
    <t>S20</t>
  </si>
  <si>
    <t>S31</t>
  </si>
  <si>
    <t>S30</t>
  </si>
  <si>
    <t>European option pricing - 3-step binomial</t>
  </si>
  <si>
    <t>Options Type:</t>
  </si>
  <si>
    <t>Strike price (K):</t>
  </si>
  <si>
    <t>Index Tree</t>
  </si>
  <si>
    <t>Time 0</t>
  </si>
  <si>
    <t>Time 1</t>
  </si>
  <si>
    <t>Time 2</t>
  </si>
  <si>
    <t>Time 3</t>
  </si>
  <si>
    <t>Payoff at time 3</t>
  </si>
  <si>
    <t>S00:</t>
  </si>
  <si>
    <t>S22:</t>
  </si>
  <si>
    <t>S33:</t>
  </si>
  <si>
    <t>Payoff 30</t>
  </si>
  <si>
    <t>S21:</t>
  </si>
  <si>
    <t>S32:</t>
  </si>
  <si>
    <t>Payoff 31</t>
  </si>
  <si>
    <t>S20:</t>
  </si>
  <si>
    <t>S31:</t>
  </si>
  <si>
    <t>Payoff 32</t>
  </si>
  <si>
    <t>S30:</t>
  </si>
  <si>
    <t>Payoff 33</t>
  </si>
  <si>
    <t>Backwards Induction:</t>
  </si>
  <si>
    <t>Step 3 - Step 2:</t>
  </si>
  <si>
    <t>Time 2 Values:</t>
  </si>
  <si>
    <t>V22:</t>
  </si>
  <si>
    <t>V21:</t>
  </si>
  <si>
    <t>V20</t>
  </si>
  <si>
    <t>Step 2 - Step 1:</t>
  </si>
  <si>
    <t>Time 1 Values:</t>
  </si>
  <si>
    <t>V11:</t>
  </si>
  <si>
    <t>V10:</t>
  </si>
  <si>
    <t>Step 1 to Step 0:</t>
  </si>
  <si>
    <t>Time 0 Value:</t>
  </si>
  <si>
    <t>V00:</t>
  </si>
  <si>
    <t>Euro Opt Price:</t>
  </si>
  <si>
    <t xml:space="preserve">American Options - 3- step binomial </t>
  </si>
  <si>
    <t>Backwards Induction With Early Exrcise Check</t>
  </si>
  <si>
    <t>Step 3 to Step 2:</t>
  </si>
  <si>
    <t>At Time 2 - Node S22:</t>
  </si>
  <si>
    <t>Hold22:</t>
  </si>
  <si>
    <t>Exercise22:</t>
  </si>
  <si>
    <t>At Time 2 - Node S21:</t>
  </si>
  <si>
    <t>Hold21:</t>
  </si>
  <si>
    <t>Exercise21:</t>
  </si>
  <si>
    <t>Hold20:</t>
  </si>
  <si>
    <t>Exercise20:</t>
  </si>
  <si>
    <t>V20:</t>
  </si>
  <si>
    <t>Step 2 to Step 1:</t>
  </si>
  <si>
    <t>At Time 1 - Node S11</t>
  </si>
  <si>
    <t>Hold11:</t>
  </si>
  <si>
    <t>Exercise11:</t>
  </si>
  <si>
    <t>At Time 1 - Node S10</t>
  </si>
  <si>
    <t>Hold10:</t>
  </si>
  <si>
    <t>Exercise10:</t>
  </si>
  <si>
    <t>At Time 0 - Node S00</t>
  </si>
  <si>
    <t>Hold00:</t>
  </si>
  <si>
    <t>Exercise00:</t>
  </si>
  <si>
    <t>Amer opt price:</t>
  </si>
  <si>
    <t>Binomial Model Prices - 3 step tree</t>
  </si>
  <si>
    <t>American Option (OEX):</t>
  </si>
  <si>
    <t>Category</t>
  </si>
  <si>
    <t>Type</t>
  </si>
  <si>
    <t>Strike</t>
  </si>
  <si>
    <t>Index</t>
  </si>
  <si>
    <t>T(years)</t>
  </si>
  <si>
    <t>European Options (XEO):</t>
  </si>
  <si>
    <t xml:space="preserve">Upper bounds </t>
  </si>
  <si>
    <t>Lower bounds</t>
  </si>
  <si>
    <t>Market Value (C-P)</t>
  </si>
  <si>
    <t>American Options (OEX)</t>
  </si>
  <si>
    <t xml:space="preserve">Theoretical price </t>
  </si>
  <si>
    <t>European Options (XEO)</t>
  </si>
  <si>
    <t xml:space="preserve">4) COMPARISON TABLES </t>
  </si>
  <si>
    <t>Strike 3390</t>
  </si>
  <si>
    <t>Strike 3300</t>
  </si>
  <si>
    <t>Strike 3320</t>
  </si>
  <si>
    <t>Upper bound:</t>
  </si>
  <si>
    <t>Lower bound:</t>
  </si>
  <si>
    <t>ii) Theoretical price (Se^(-qT)-K ≤C-P≤S-Ke^(-rT))</t>
  </si>
  <si>
    <t>i) Market Value (C-P)</t>
  </si>
  <si>
    <t>3.4) AMERICAN OPTIONS (OEX)</t>
  </si>
  <si>
    <t>ii) Theoretical price (Se^(-qT)-Ke^(-rT))</t>
  </si>
  <si>
    <t>3.3) EUROPEAN OPTIONS (XEO)</t>
  </si>
  <si>
    <t>3.2) COMMON DISCOUNT FACTORS</t>
  </si>
  <si>
    <t>American Options (inequality):</t>
  </si>
  <si>
    <t>European Options (equality):</t>
  </si>
  <si>
    <t>3.1) FORMULAS</t>
  </si>
  <si>
    <t>3) PUT-CALL PARITY CALCULATIONS</t>
  </si>
  <si>
    <t>Put Ask</t>
  </si>
  <si>
    <t xml:space="preserve">Put Bid </t>
  </si>
  <si>
    <t>Call Ask</t>
  </si>
  <si>
    <t>Call Bid</t>
  </si>
  <si>
    <t>Put Bid</t>
  </si>
  <si>
    <t>2) OPTIONS PRICES</t>
  </si>
  <si>
    <t>Strike price 3</t>
  </si>
  <si>
    <t>Strike price 2</t>
  </si>
  <si>
    <t>Strike price 1</t>
  </si>
  <si>
    <t>Dividend yield (q)</t>
  </si>
  <si>
    <t>Time to maturity (T) (42/365 days)</t>
  </si>
  <si>
    <t>Risk-free rate (r)</t>
  </si>
  <si>
    <t>Index level (S)</t>
  </si>
  <si>
    <t>OEX (American)</t>
  </si>
  <si>
    <t>XEO (European)</t>
  </si>
  <si>
    <t>Variable</t>
  </si>
  <si>
    <t>1) DATA COLLECTED</t>
  </si>
  <si>
    <t xml:space="preserve">PUT-CALL PARITY (PCP) </t>
  </si>
  <si>
    <t xml:space="preserve">42  / 365 </t>
  </si>
  <si>
    <t xml:space="preserve">time to maturity </t>
  </si>
  <si>
    <t>t</t>
  </si>
  <si>
    <t>dividend yield</t>
  </si>
  <si>
    <t>q</t>
  </si>
  <si>
    <t xml:space="preserve">risk free rate </t>
  </si>
  <si>
    <t>r</t>
  </si>
  <si>
    <t xml:space="preserve">strike price </t>
  </si>
  <si>
    <t>K</t>
  </si>
  <si>
    <t>red boxes</t>
  </si>
  <si>
    <t>for xeo</t>
  </si>
  <si>
    <t>S0</t>
  </si>
  <si>
    <t>for oex</t>
  </si>
  <si>
    <t>σ</t>
  </si>
  <si>
    <t>XEO260417P03390000</t>
  </si>
  <si>
    <t>XEO260417C03390000</t>
  </si>
  <si>
    <t>Fri Apr 17 2026</t>
  </si>
  <si>
    <t>XEO260417P03300000</t>
  </si>
  <si>
    <t>XEO260417C03300000</t>
  </si>
  <si>
    <t>XEO260417P03220000</t>
  </si>
  <si>
    <t>XEO260417C03220000</t>
  </si>
  <si>
    <t>xeo - European</t>
  </si>
  <si>
    <t>OEX260417P03390000</t>
  </si>
  <si>
    <t>OEX260417C03390000</t>
  </si>
  <si>
    <t>OEX260417P03300000</t>
  </si>
  <si>
    <t>OEX260417C03300000</t>
  </si>
  <si>
    <t>OEX260417P03220000</t>
  </si>
  <si>
    <t>OEX260417C03220000</t>
  </si>
  <si>
    <t>oex - American</t>
  </si>
  <si>
    <t>XEO</t>
  </si>
  <si>
    <t>OEX</t>
  </si>
  <si>
    <t>PUT</t>
  </si>
  <si>
    <t>CALL</t>
  </si>
  <si>
    <t>Comparative Table</t>
  </si>
  <si>
    <t xml:space="preserve">Put Price </t>
  </si>
  <si>
    <t>N(d1)</t>
  </si>
  <si>
    <t>E^-qt</t>
  </si>
  <si>
    <t>N(d2)</t>
  </si>
  <si>
    <t>e^-rt</t>
  </si>
  <si>
    <t xml:space="preserve">ATM </t>
  </si>
  <si>
    <t xml:space="preserve">Put </t>
  </si>
  <si>
    <t>Call Price</t>
  </si>
  <si>
    <t>e^-qt</t>
  </si>
  <si>
    <t>d2</t>
  </si>
  <si>
    <t>d1</t>
  </si>
  <si>
    <t> </t>
  </si>
  <si>
    <t> 171.3493</t>
  </si>
  <si>
    <t> 172.0329</t>
  </si>
  <si>
    <t> 94.6781</t>
  </si>
  <si>
    <t> 126.9762</t>
  </si>
  <si>
    <t> 126.716</t>
  </si>
  <si>
    <t> 139.0222</t>
  </si>
  <si>
    <t> 85.8096</t>
  </si>
  <si>
    <t> 178.4391</t>
  </si>
  <si>
    <t>Binomial</t>
  </si>
  <si>
    <t>Actual</t>
  </si>
  <si>
    <t>B&amp;S</t>
  </si>
  <si>
    <t>European</t>
  </si>
  <si>
    <t>American</t>
  </si>
  <si>
    <t>Puts</t>
  </si>
  <si>
    <t>Calls</t>
  </si>
  <si>
    <r>
      <t xml:space="preserve">
</t>
    </r>
    <r>
      <rPr>
        <sz val="9"/>
        <color theme="1"/>
        <rFont val="Times New Roman"/>
        <family val="1"/>
        <charset val="1"/>
      </rPr>
      <t> </t>
    </r>
  </si>
  <si>
    <t> 174.4697</t>
  </si>
  <si>
    <t> 130.6020</t>
  </si>
  <si>
    <t> 90.9707</t>
  </si>
  <si>
    <t> 173.8330</t>
  </si>
  <si>
    <t> 130.0665</t>
  </si>
  <si>
    <t> 90.5487</t>
  </si>
  <si>
    <t> 122.1604</t>
  </si>
  <si>
    <t> 173.5558</t>
  </si>
  <si>
    <t> 117.1609</t>
  </si>
  <si>
    <t> 167.2596</t>
  </si>
  <si>
    <t> 86.4342</t>
  </si>
  <si>
    <t> 81.2681</t>
  </si>
  <si>
    <t>`</t>
  </si>
  <si>
    <t> 85.1408</t>
  </si>
  <si>
    <t>Caluculated Price</t>
  </si>
  <si>
    <t>Calculated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</si>
</sst>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"/>
  </numFmts>
  <fonts count="12" x14ac:knownFonts="1">
    <font>
      <sz val="11"/>
      <color theme="1"/>
      <name val="Calibri"/>
      <family val="2"/>
      <scheme val="minor"/>
    </font>
    <font>
      <sz val="10"/>
      <color rgb="FFF9FAFB"/>
      <name val="Calibri"/>
      <scheme val="minor"/>
    </font>
    <font>
      <sz val="11"/>
      <color rgb="FF242424"/>
      <name val="Aptos Narrow"/>
      <charset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Times New Roman"/>
      <family val="1"/>
      <charset val="1"/>
    </font>
    <font>
      <sz val="10"/>
      <color theme="1"/>
      <name val="Arial"/>
      <family val="2"/>
      <charset val="1"/>
    </font>
    <font>
      <sz val="12"/>
      <color theme="1"/>
      <name val="Times New Roman"/>
      <family val="1"/>
      <charset val="1"/>
    </font>
    <font>
      <sz val="9"/>
      <color theme="1"/>
      <name val="Calibri"/>
      <scheme val="minor"/>
    </font>
    <font>
      <sz val="9"/>
      <color rgb="FF242424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00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0" borderId="11" xfId="0" applyBorder="1"/>
    <xf numFmtId="0" fontId="0" fillId="0" borderId="13" xfId="0" applyBorder="1"/>
    <xf numFmtId="0" fontId="0" fillId="2" borderId="2" xfId="0" applyFill="1" applyBorder="1"/>
    <xf numFmtId="0" fontId="0" fillId="2" borderId="9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6" xfId="0" applyFill="1" applyBorder="1"/>
    <xf numFmtId="0" fontId="0" fillId="3" borderId="2" xfId="0" applyFill="1" applyBorder="1"/>
    <xf numFmtId="0" fontId="0" fillId="3" borderId="9" xfId="0" applyFill="1" applyBorder="1"/>
    <xf numFmtId="0" fontId="0" fillId="3" borderId="3" xfId="0" applyFill="1" applyBorder="1"/>
    <xf numFmtId="0" fontId="0" fillId="3" borderId="12" xfId="0" applyFill="1" applyBorder="1"/>
    <xf numFmtId="0" fontId="0" fillId="3" borderId="0" xfId="0" applyFill="1"/>
    <xf numFmtId="0" fontId="0" fillId="3" borderId="4" xfId="0" applyFill="1" applyBorder="1"/>
    <xf numFmtId="0" fontId="0" fillId="3" borderId="13" xfId="0" applyFill="1" applyBorder="1"/>
    <xf numFmtId="0" fontId="0" fillId="3" borderId="1" xfId="0" applyFill="1" applyBorder="1"/>
    <xf numFmtId="0" fontId="0" fillId="3" borderId="5" xfId="0" applyFill="1" applyBorder="1"/>
    <xf numFmtId="0" fontId="0" fillId="2" borderId="14" xfId="0" applyFill="1" applyBorder="1"/>
    <xf numFmtId="0" fontId="0" fillId="2" borderId="13" xfId="0" applyFill="1" applyBorder="1"/>
    <xf numFmtId="0" fontId="0" fillId="0" borderId="14" xfId="0" applyBorder="1"/>
    <xf numFmtId="0" fontId="0" fillId="5" borderId="14" xfId="0" applyFill="1" applyBorder="1"/>
    <xf numFmtId="0" fontId="0" fillId="5" borderId="6" xfId="0" applyFill="1" applyBorder="1"/>
    <xf numFmtId="0" fontId="0" fillId="6" borderId="6" xfId="0" applyFill="1" applyBorder="1"/>
    <xf numFmtId="0" fontId="0" fillId="6" borderId="14" xfId="0" applyFill="1" applyBorder="1"/>
    <xf numFmtId="0" fontId="0" fillId="5" borderId="15" xfId="0" applyFill="1" applyBorder="1"/>
    <xf numFmtId="0" fontId="0" fillId="5" borderId="2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8" xfId="0" applyFill="1" applyBorder="1"/>
    <xf numFmtId="0" fontId="0" fillId="7" borderId="2" xfId="0" applyFill="1" applyBorder="1"/>
    <xf numFmtId="0" fontId="0" fillId="7" borderId="13" xfId="0" applyFill="1" applyBorder="1"/>
    <xf numFmtId="0" fontId="0" fillId="7" borderId="3" xfId="0" applyFill="1" applyBorder="1"/>
    <xf numFmtId="0" fontId="0" fillId="7" borderId="1" xfId="0" applyFill="1" applyBorder="1"/>
    <xf numFmtId="0" fontId="0" fillId="7" borderId="0" xfId="0" applyFill="1"/>
    <xf numFmtId="0" fontId="0" fillId="7" borderId="12" xfId="0" applyFill="1" applyBorder="1"/>
    <xf numFmtId="0" fontId="0" fillId="7" borderId="16" xfId="0" applyFill="1" applyBorder="1"/>
    <xf numFmtId="0" fontId="0" fillId="7" borderId="6" xfId="0" applyFill="1" applyBorder="1"/>
    <xf numFmtId="0" fontId="0" fillId="7" borderId="14" xfId="0" applyFill="1" applyBorder="1"/>
    <xf numFmtId="0" fontId="2" fillId="7" borderId="6" xfId="0" applyFont="1" applyFill="1" applyBorder="1"/>
    <xf numFmtId="0" fontId="0" fillId="7" borderId="11" xfId="0" applyFill="1" applyBorder="1"/>
    <xf numFmtId="0" fontId="0" fillId="7" borderId="5" xfId="0" applyFill="1" applyBorder="1"/>
    <xf numFmtId="164" fontId="0" fillId="8" borderId="18" xfId="0" applyNumberFormat="1" applyFill="1" applyBorder="1"/>
    <xf numFmtId="164" fontId="0" fillId="8" borderId="19" xfId="0" applyNumberFormat="1" applyFill="1" applyBorder="1"/>
    <xf numFmtId="0" fontId="0" fillId="8" borderId="18" xfId="0" applyFill="1" applyBorder="1"/>
    <xf numFmtId="0" fontId="0" fillId="8" borderId="20" xfId="0" applyFill="1" applyBorder="1"/>
    <xf numFmtId="164" fontId="0" fillId="8" borderId="21" xfId="0" applyNumberFormat="1" applyFill="1" applyBorder="1"/>
    <xf numFmtId="164" fontId="0" fillId="8" borderId="0" xfId="0" applyNumberFormat="1" applyFill="1"/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/>
    <xf numFmtId="0" fontId="0" fillId="8" borderId="24" xfId="0" applyFill="1" applyBorder="1"/>
    <xf numFmtId="0" fontId="0" fillId="8" borderId="25" xfId="0" applyFill="1" applyBorder="1"/>
    <xf numFmtId="164" fontId="0" fillId="9" borderId="26" xfId="0" applyNumberFormat="1" applyFill="1" applyBorder="1"/>
    <xf numFmtId="0" fontId="0" fillId="9" borderId="18" xfId="0" applyFill="1" applyBorder="1"/>
    <xf numFmtId="0" fontId="0" fillId="9" borderId="20" xfId="0" applyFill="1" applyBorder="1"/>
    <xf numFmtId="164" fontId="0" fillId="9" borderId="27" xfId="0" applyNumberFormat="1" applyFill="1" applyBorder="1"/>
    <xf numFmtId="0" fontId="0" fillId="9" borderId="21" xfId="0" applyFill="1" applyBorder="1"/>
    <xf numFmtId="0" fontId="0" fillId="9" borderId="22" xfId="0" applyFill="1" applyBorder="1"/>
    <xf numFmtId="0" fontId="0" fillId="9" borderId="28" xfId="0" applyFill="1" applyBorder="1"/>
    <xf numFmtId="0" fontId="0" fillId="9" borderId="23" xfId="0" applyFill="1" applyBorder="1"/>
    <xf numFmtId="0" fontId="0" fillId="9" borderId="25" xfId="0" applyFill="1" applyBorder="1"/>
    <xf numFmtId="0" fontId="4" fillId="0" borderId="0" xfId="0" applyFont="1"/>
    <xf numFmtId="0" fontId="3" fillId="0" borderId="0" xfId="0" applyFont="1"/>
    <xf numFmtId="0" fontId="0" fillId="8" borderId="19" xfId="0" applyFill="1" applyBorder="1"/>
    <xf numFmtId="0" fontId="0" fillId="8" borderId="0" xfId="0" applyFill="1"/>
    <xf numFmtId="164" fontId="0" fillId="9" borderId="18" xfId="0" applyNumberFormat="1" applyFill="1" applyBorder="1"/>
    <xf numFmtId="164" fontId="0" fillId="9" borderId="19" xfId="0" applyNumberFormat="1" applyFill="1" applyBorder="1"/>
    <xf numFmtId="164" fontId="0" fillId="9" borderId="21" xfId="0" applyNumberFormat="1" applyFill="1" applyBorder="1"/>
    <xf numFmtId="0" fontId="0" fillId="9" borderId="0" xfId="0" applyFill="1"/>
    <xf numFmtId="164" fontId="0" fillId="9" borderId="0" xfId="0" applyNumberFormat="1" applyFill="1"/>
    <xf numFmtId="0" fontId="0" fillId="9" borderId="24" xfId="0" applyFill="1" applyBorder="1"/>
    <xf numFmtId="0" fontId="0" fillId="9" borderId="19" xfId="0" applyFill="1" applyBorder="1"/>
    <xf numFmtId="165" fontId="0" fillId="10" borderId="18" xfId="0" applyNumberFormat="1" applyFill="1" applyBorder="1"/>
    <xf numFmtId="0" fontId="0" fillId="10" borderId="20" xfId="0" applyFill="1" applyBorder="1"/>
    <xf numFmtId="165" fontId="0" fillId="10" borderId="21" xfId="0" applyNumberFormat="1" applyFill="1" applyBorder="1"/>
    <xf numFmtId="0" fontId="0" fillId="10" borderId="22" xfId="0" applyFill="1" applyBorder="1"/>
    <xf numFmtId="165" fontId="0" fillId="10" borderId="29" xfId="0" applyNumberFormat="1" applyFill="1" applyBorder="1"/>
    <xf numFmtId="0" fontId="0" fillId="10" borderId="30" xfId="0" applyFill="1" applyBorder="1"/>
    <xf numFmtId="0" fontId="5" fillId="0" borderId="0" xfId="0" applyFont="1"/>
    <xf numFmtId="0" fontId="0" fillId="8" borderId="26" xfId="0" applyFill="1" applyBorder="1"/>
    <xf numFmtId="0" fontId="0" fillId="8" borderId="27" xfId="0" applyFill="1" applyBorder="1"/>
    <xf numFmtId="0" fontId="0" fillId="8" borderId="28" xfId="0" applyFill="1" applyBorder="1"/>
    <xf numFmtId="0" fontId="0" fillId="9" borderId="26" xfId="0" applyFill="1" applyBorder="1"/>
    <xf numFmtId="0" fontId="0" fillId="9" borderId="27" xfId="0" applyFill="1" applyBorder="1"/>
    <xf numFmtId="0" fontId="0" fillId="10" borderId="25" xfId="0" applyFill="1" applyBorder="1"/>
    <xf numFmtId="10" fontId="0" fillId="0" borderId="0" xfId="0" applyNumberFormat="1"/>
    <xf numFmtId="0" fontId="6" fillId="0" borderId="0" xfId="0" applyFont="1"/>
    <xf numFmtId="0" fontId="6" fillId="11" borderId="0" xfId="0" applyFont="1" applyFill="1"/>
    <xf numFmtId="166" fontId="0" fillId="2" borderId="0" xfId="0" applyNumberFormat="1" applyFill="1"/>
    <xf numFmtId="0" fontId="4" fillId="12" borderId="0" xfId="0" applyFont="1" applyFill="1"/>
    <xf numFmtId="0" fontId="0" fillId="2" borderId="0" xfId="0" applyFill="1"/>
    <xf numFmtId="0" fontId="4" fillId="3" borderId="0" xfId="0" applyFont="1" applyFill="1"/>
    <xf numFmtId="0" fontId="4" fillId="2" borderId="0" xfId="0" applyFont="1" applyFill="1"/>
    <xf numFmtId="0" fontId="4" fillId="13" borderId="0" xfId="0" applyFont="1" applyFill="1"/>
    <xf numFmtId="0" fontId="4" fillId="14" borderId="0" xfId="0" applyFont="1" applyFill="1"/>
    <xf numFmtId="0" fontId="4" fillId="4" borderId="0" xfId="0" applyFont="1" applyFill="1"/>
    <xf numFmtId="0" fontId="4" fillId="10" borderId="0" xfId="0" applyFont="1" applyFill="1"/>
    <xf numFmtId="0" fontId="4" fillId="15" borderId="0" xfId="0" applyFont="1" applyFill="1"/>
    <xf numFmtId="0" fontId="4" fillId="16" borderId="0" xfId="0" applyFont="1" applyFill="1"/>
    <xf numFmtId="0" fontId="4" fillId="9" borderId="0" xfId="0" applyFont="1" applyFill="1"/>
    <xf numFmtId="0" fontId="0" fillId="13" borderId="0" xfId="0" applyFill="1"/>
    <xf numFmtId="0" fontId="0" fillId="14" borderId="0" xfId="0" applyFill="1"/>
    <xf numFmtId="0" fontId="0" fillId="4" borderId="0" xfId="0" applyFill="1"/>
    <xf numFmtId="0" fontId="0" fillId="10" borderId="0" xfId="0" applyFill="1"/>
    <xf numFmtId="0" fontId="0" fillId="15" borderId="0" xfId="0" applyFill="1"/>
    <xf numFmtId="0" fontId="0" fillId="16" borderId="0" xfId="0" applyFill="1"/>
    <xf numFmtId="164" fontId="0" fillId="16" borderId="0" xfId="0" applyNumberFormat="1" applyFill="1"/>
    <xf numFmtId="1" fontId="0" fillId="13" borderId="0" xfId="0" applyNumberFormat="1" applyFill="1"/>
    <xf numFmtId="1" fontId="0" fillId="14" borderId="0" xfId="0" applyNumberFormat="1" applyFill="1"/>
    <xf numFmtId="1" fontId="0" fillId="4" borderId="0" xfId="0" applyNumberFormat="1" applyFill="1"/>
    <xf numFmtId="1" fontId="0" fillId="15" borderId="0" xfId="0" applyNumberFormat="1" applyFill="1"/>
    <xf numFmtId="1" fontId="0" fillId="16" borderId="0" xfId="0" applyNumberFormat="1" applyFill="1"/>
    <xf numFmtId="1" fontId="0" fillId="9" borderId="0" xfId="0" applyNumberFormat="1" applyFill="1"/>
    <xf numFmtId="164" fontId="0" fillId="15" borderId="0" xfId="0" applyNumberFormat="1" applyFill="1"/>
    <xf numFmtId="164" fontId="4" fillId="16" borderId="0" xfId="0" applyNumberFormat="1" applyFont="1" applyFill="1"/>
    <xf numFmtId="1" fontId="4" fillId="9" borderId="0" xfId="0" applyNumberFormat="1" applyFont="1" applyFill="1"/>
    <xf numFmtId="166" fontId="4" fillId="13" borderId="0" xfId="0" applyNumberFormat="1" applyFont="1" applyFill="1"/>
    <xf numFmtId="166" fontId="4" fillId="14" borderId="0" xfId="0" applyNumberFormat="1" applyFont="1" applyFill="1"/>
    <xf numFmtId="166" fontId="4" fillId="4" borderId="0" xfId="0" applyNumberFormat="1" applyFont="1" applyFill="1"/>
    <xf numFmtId="166" fontId="4" fillId="15" borderId="0" xfId="0" applyNumberFormat="1" applyFont="1" applyFill="1"/>
    <xf numFmtId="166" fontId="4" fillId="16" borderId="0" xfId="0" applyNumberFormat="1" applyFont="1" applyFill="1"/>
    <xf numFmtId="166" fontId="4" fillId="9" borderId="0" xfId="0" applyNumberFormat="1" applyFont="1" applyFill="1"/>
    <xf numFmtId="166" fontId="0" fillId="13" borderId="0" xfId="0" applyNumberFormat="1" applyFill="1"/>
    <xf numFmtId="166" fontId="0" fillId="14" borderId="0" xfId="0" applyNumberFormat="1" applyFill="1"/>
    <xf numFmtId="166" fontId="0" fillId="4" borderId="0" xfId="0" applyNumberFormat="1" applyFill="1"/>
    <xf numFmtId="166" fontId="0" fillId="15" borderId="0" xfId="0" applyNumberFormat="1" applyFill="1"/>
    <xf numFmtId="166" fontId="0" fillId="16" borderId="0" xfId="0" applyNumberFormat="1" applyFill="1"/>
    <xf numFmtId="166" fontId="0" fillId="9" borderId="0" xfId="0" applyNumberFormat="1" applyFill="1"/>
    <xf numFmtId="0" fontId="0" fillId="10" borderId="0" xfId="0" applyFill="1" applyAlignment="1">
      <alignment vertical="center" wrapText="1"/>
    </xf>
    <xf numFmtId="0" fontId="7" fillId="0" borderId="0" xfId="0" applyFont="1"/>
    <xf numFmtId="0" fontId="8" fillId="0" borderId="0" xfId="0" applyFont="1" applyAlignment="1">
      <alignment wrapText="1"/>
    </xf>
    <xf numFmtId="0" fontId="7" fillId="0" borderId="23" xfId="0" applyFont="1" applyBorder="1"/>
    <xf numFmtId="0" fontId="7" fillId="0" borderId="28" xfId="0" applyFont="1" applyBorder="1"/>
    <xf numFmtId="0" fontId="7" fillId="0" borderId="25" xfId="0" applyFont="1" applyBorder="1"/>
    <xf numFmtId="0" fontId="7" fillId="0" borderId="18" xfId="0" applyFont="1" applyBorder="1"/>
    <xf numFmtId="0" fontId="10" fillId="0" borderId="23" xfId="0" applyFont="1" applyBorder="1"/>
    <xf numFmtId="0" fontId="7" fillId="0" borderId="26" xfId="0" applyFont="1" applyBorder="1"/>
    <xf numFmtId="0" fontId="7" fillId="0" borderId="6" xfId="0" applyFont="1" applyBorder="1"/>
    <xf numFmtId="0" fontId="7" fillId="0" borderId="21" xfId="0" applyFont="1" applyBorder="1"/>
    <xf numFmtId="0" fontId="11" fillId="0" borderId="6" xfId="0" applyFont="1" applyBorder="1"/>
    <xf numFmtId="0" fontId="8" fillId="7" borderId="0" xfId="0" applyFont="1" applyFill="1" applyAlignment="1">
      <alignment wrapText="1"/>
    </xf>
    <xf numFmtId="0" fontId="7" fillId="7" borderId="0" xfId="0" applyFont="1" applyFill="1"/>
    <xf numFmtId="0" fontId="9" fillId="7" borderId="0" xfId="0" applyFont="1" applyFill="1"/>
    <xf numFmtId="0" fontId="2" fillId="0" borderId="0" xfId="0" applyFont="1"/>
    <xf numFmtId="0" fontId="4" fillId="7" borderId="0" xfId="0" applyFont="1" applyFill="1"/>
    <xf numFmtId="0" fontId="0" fillId="2" borderId="31" xfId="0" applyFill="1" applyBorder="1"/>
    <xf numFmtId="0" fontId="0" fillId="2" borderId="32" xfId="0" applyFill="1" applyBorder="1"/>
    <xf numFmtId="0" fontId="7" fillId="0" borderId="0" xfId="0" applyFont="1"/>
    <xf numFmtId="0" fontId="7" fillId="0" borderId="14" xfId="0" applyFont="1" applyBorder="1"/>
    <xf numFmtId="0" fontId="7" fillId="0" borderId="6" xfId="0" applyFont="1" applyBorder="1"/>
    <xf numFmtId="0" fontId="7" fillId="0" borderId="24" xfId="0" applyFont="1" applyBorder="1"/>
    <xf numFmtId="0" fontId="7" fillId="0" borderId="28" xfId="0" applyFont="1" applyBorder="1"/>
    <xf numFmtId="0" fontId="7" fillId="0" borderId="19" xfId="0" applyFont="1" applyBorder="1"/>
    <xf numFmtId="0" fontId="7" fillId="0" borderId="26" xfId="0" applyFont="1" applyBorder="1"/>
    <xf numFmtId="0" fontId="7" fillId="0" borderId="25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273050</xdr:colOff>
      <xdr:row>28</xdr:row>
      <xdr:rowOff>5442</xdr:rowOff>
    </xdr:from>
    <xdr:ext cx="1473096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F4931C8-2165-4BE5-9251-C54D1ABA2D31}"/>
                </a:ext>
              </a:extLst>
            </xdr:cNvPr>
            <xdr:cNvSpPr txBox="1"/>
          </xdr:nvSpPr>
          <xdr:spPr>
            <a:xfrm>
              <a:off x="885825" y="5075917"/>
              <a:ext cx="1473096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𝑆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𝑞𝑇</m:t>
                        </m:r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𝐾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𝑟𝑇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F4931C8-2165-4BE5-9251-C54D1ABA2D31}"/>
                </a:ext>
              </a:extLst>
            </xdr:cNvPr>
            <xdr:cNvSpPr txBox="1"/>
          </xdr:nvSpPr>
          <xdr:spPr>
            <a:xfrm>
              <a:off x="885825" y="5075917"/>
              <a:ext cx="1473096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𝐶−𝑃=𝑆𝑒^(−𝑞𝑇)−𝐾𝑒^(−𝑟𝑇)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0</xdr:col>
      <xdr:colOff>2341335</xdr:colOff>
      <xdr:row>31</xdr:row>
      <xdr:rowOff>14513</xdr:rowOff>
    </xdr:from>
    <xdr:ext cx="2005677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6888EB4-25D5-4048-9DCE-7F8F22F0481E}"/>
                </a:ext>
              </a:extLst>
            </xdr:cNvPr>
            <xdr:cNvSpPr txBox="1"/>
          </xdr:nvSpPr>
          <xdr:spPr>
            <a:xfrm>
              <a:off x="607785" y="5621563"/>
              <a:ext cx="2005677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𝑆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𝑞𝑇</m:t>
                        </m:r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≤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≤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𝐾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𝑟𝑇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6888EB4-25D5-4048-9DCE-7F8F22F0481E}"/>
                </a:ext>
              </a:extLst>
            </xdr:cNvPr>
            <xdr:cNvSpPr txBox="1"/>
          </xdr:nvSpPr>
          <xdr:spPr>
            <a:xfrm>
              <a:off x="607785" y="5621563"/>
              <a:ext cx="2005677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𝑆𝑒^(−𝑞𝑇)−𝐾≤𝐶−𝑃≤𝑆−𝐾𝑒^(−𝑟𝑇)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109765</xdr:colOff>
      <xdr:row>34</xdr:row>
      <xdr:rowOff>0</xdr:rowOff>
    </xdr:from>
    <xdr:ext cx="189346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89CE763-6FFC-42DD-B183-2118B1B51E81}"/>
                </a:ext>
              </a:extLst>
            </xdr:cNvPr>
            <xdr:cNvSpPr txBox="1"/>
          </xdr:nvSpPr>
          <xdr:spPr>
            <a:xfrm>
              <a:off x="716190" y="6153150"/>
              <a:ext cx="18934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𝑞𝑇</m:t>
                    </m:r>
                  </m:oMath>
                </m:oMathPara>
              </a14:m>
              <a:endParaRPr lang="en-GB" sz="1100" b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89CE763-6FFC-42DD-B183-2118B1B51E81}"/>
                </a:ext>
              </a:extLst>
            </xdr:cNvPr>
            <xdr:cNvSpPr txBox="1"/>
          </xdr:nvSpPr>
          <xdr:spPr>
            <a:xfrm>
              <a:off x="716190" y="6153150"/>
              <a:ext cx="18934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𝑞𝑇</a:t>
              </a:r>
              <a:endParaRPr lang="en-GB" sz="1100" b="0"/>
            </a:p>
          </xdr:txBody>
        </xdr:sp>
      </mc:Fallback>
    </mc:AlternateContent>
    <xdr:clientData/>
  </xdr:oneCellAnchor>
  <xdr:oneCellAnchor>
    <xdr:from>
      <xdr:col>1</xdr:col>
      <xdr:colOff>73479</xdr:colOff>
      <xdr:row>35</xdr:row>
      <xdr:rowOff>14514</xdr:rowOff>
    </xdr:from>
    <xdr:ext cx="312521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4A607BF-001E-4EB5-B9FE-8CC1705F2C19}"/>
                </a:ext>
              </a:extLst>
            </xdr:cNvPr>
            <xdr:cNvSpPr txBox="1"/>
          </xdr:nvSpPr>
          <xdr:spPr>
            <a:xfrm>
              <a:off x="683079" y="6345464"/>
              <a:ext cx="312521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𝑞𝑇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4A607BF-001E-4EB5-B9FE-8CC1705F2C19}"/>
                </a:ext>
              </a:extLst>
            </xdr:cNvPr>
            <xdr:cNvSpPr txBox="1"/>
          </xdr:nvSpPr>
          <xdr:spPr>
            <a:xfrm>
              <a:off x="683079" y="6345464"/>
              <a:ext cx="312521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𝑒^(−𝑞𝑇)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100693</xdr:colOff>
      <xdr:row>36</xdr:row>
      <xdr:rowOff>14514</xdr:rowOff>
    </xdr:from>
    <xdr:ext cx="18043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3BE6A2E-ADC0-4F65-BBC6-DED548D7BD38}"/>
                </a:ext>
              </a:extLst>
            </xdr:cNvPr>
            <xdr:cNvSpPr txBox="1"/>
          </xdr:nvSpPr>
          <xdr:spPr>
            <a:xfrm>
              <a:off x="713468" y="6526439"/>
              <a:ext cx="18043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𝑟𝑇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3BE6A2E-ADC0-4F65-BBC6-DED548D7BD38}"/>
                </a:ext>
              </a:extLst>
            </xdr:cNvPr>
            <xdr:cNvSpPr txBox="1"/>
          </xdr:nvSpPr>
          <xdr:spPr>
            <a:xfrm>
              <a:off x="713468" y="6526439"/>
              <a:ext cx="18043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𝑟𝑇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82549</xdr:colOff>
      <xdr:row>37</xdr:row>
      <xdr:rowOff>23587</xdr:rowOff>
    </xdr:from>
    <xdr:ext cx="305405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92C0313-AA19-41BA-A83F-84521391518D}"/>
                </a:ext>
              </a:extLst>
            </xdr:cNvPr>
            <xdr:cNvSpPr txBox="1"/>
          </xdr:nvSpPr>
          <xdr:spPr>
            <a:xfrm>
              <a:off x="695324" y="6722837"/>
              <a:ext cx="305405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𝑟𝑇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92C0313-AA19-41BA-A83F-84521391518D}"/>
                </a:ext>
              </a:extLst>
            </xdr:cNvPr>
            <xdr:cNvSpPr txBox="1"/>
          </xdr:nvSpPr>
          <xdr:spPr>
            <a:xfrm>
              <a:off x="695324" y="6722837"/>
              <a:ext cx="305405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𝑒^(−𝑟𝑇)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</xdr:col>
      <xdr:colOff>270164</xdr:colOff>
      <xdr:row>41</xdr:row>
      <xdr:rowOff>16164</xdr:rowOff>
    </xdr:from>
    <xdr:ext cx="35971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D4915BA-8047-4E45-BC28-43FC57A8B8DB}"/>
                </a:ext>
              </a:extLst>
            </xdr:cNvPr>
            <xdr:cNvSpPr txBox="1"/>
          </xdr:nvSpPr>
          <xdr:spPr>
            <a:xfrm>
              <a:off x="1492539" y="7436139"/>
              <a:ext cx="3597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𝐶𝑚𝑖𝑑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D4915BA-8047-4E45-BC28-43FC57A8B8DB}"/>
                </a:ext>
              </a:extLst>
            </xdr:cNvPr>
            <xdr:cNvSpPr txBox="1"/>
          </xdr:nvSpPr>
          <xdr:spPr>
            <a:xfrm>
              <a:off x="1492539" y="7436139"/>
              <a:ext cx="3597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𝐶𝑚𝑖𝑑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3</xdr:col>
      <xdr:colOff>293254</xdr:colOff>
      <xdr:row>41</xdr:row>
      <xdr:rowOff>16163</xdr:rowOff>
    </xdr:from>
    <xdr:ext cx="36298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983444D-77C0-4DBE-8020-431CC9361FF7}"/>
                </a:ext>
              </a:extLst>
            </xdr:cNvPr>
            <xdr:cNvSpPr txBox="1"/>
          </xdr:nvSpPr>
          <xdr:spPr>
            <a:xfrm>
              <a:off x="2125229" y="7436138"/>
              <a:ext cx="36298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𝑃𝑚𝑖𝑑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983444D-77C0-4DBE-8020-431CC9361FF7}"/>
                </a:ext>
              </a:extLst>
            </xdr:cNvPr>
            <xdr:cNvSpPr txBox="1"/>
          </xdr:nvSpPr>
          <xdr:spPr>
            <a:xfrm>
              <a:off x="2125229" y="7436138"/>
              <a:ext cx="36298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𝑃𝑚𝑖𝑑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154709</xdr:colOff>
      <xdr:row>41</xdr:row>
      <xdr:rowOff>16163</xdr:rowOff>
    </xdr:from>
    <xdr:ext cx="37580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A331D8E-34CF-4EB4-BC07-817D81FA0F50}"/>
                </a:ext>
              </a:extLst>
            </xdr:cNvPr>
            <xdr:cNvSpPr txBox="1"/>
          </xdr:nvSpPr>
          <xdr:spPr>
            <a:xfrm>
              <a:off x="2593109" y="7436138"/>
              <a:ext cx="37580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𝑃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A331D8E-34CF-4EB4-BC07-817D81FA0F50}"/>
                </a:ext>
              </a:extLst>
            </xdr:cNvPr>
            <xdr:cNvSpPr txBox="1"/>
          </xdr:nvSpPr>
          <xdr:spPr>
            <a:xfrm>
              <a:off x="2593109" y="7436138"/>
              <a:ext cx="37580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𝐶−𝑃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</xdr:col>
      <xdr:colOff>166254</xdr:colOff>
      <xdr:row>47</xdr:row>
      <xdr:rowOff>39254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041F37B-D461-4A55-A772-8226B9814132}"/>
            </a:ext>
          </a:extLst>
        </xdr:cNvPr>
        <xdr:cNvSpPr txBox="1"/>
      </xdr:nvSpPr>
      <xdr:spPr>
        <a:xfrm>
          <a:off x="1382279" y="85450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</xdr:col>
      <xdr:colOff>339437</xdr:colOff>
      <xdr:row>47</xdr:row>
      <xdr:rowOff>16162</xdr:rowOff>
    </xdr:from>
    <xdr:ext cx="389915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8DC1B1F-C8F0-4CDB-80F0-09DDB17CD4CF}"/>
                </a:ext>
              </a:extLst>
            </xdr:cNvPr>
            <xdr:cNvSpPr txBox="1"/>
          </xdr:nvSpPr>
          <xdr:spPr>
            <a:xfrm>
              <a:off x="1555462" y="8521987"/>
              <a:ext cx="389915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𝑆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𝑞𝑇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8DC1B1F-C8F0-4CDB-80F0-09DDB17CD4CF}"/>
                </a:ext>
              </a:extLst>
            </xdr:cNvPr>
            <xdr:cNvSpPr txBox="1"/>
          </xdr:nvSpPr>
          <xdr:spPr>
            <a:xfrm>
              <a:off x="1555462" y="8521987"/>
              <a:ext cx="389915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𝑆𝑒^(−𝑞𝑇)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3</xdr:col>
      <xdr:colOff>235527</xdr:colOff>
      <xdr:row>47</xdr:row>
      <xdr:rowOff>16163</xdr:rowOff>
    </xdr:from>
    <xdr:ext cx="408189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08391BD-BB17-4128-AB83-CC6589E3466D}"/>
                </a:ext>
              </a:extLst>
            </xdr:cNvPr>
            <xdr:cNvSpPr txBox="1"/>
          </xdr:nvSpPr>
          <xdr:spPr>
            <a:xfrm>
              <a:off x="2067502" y="8521988"/>
              <a:ext cx="408189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𝐾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𝑟𝑇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08391BD-BB17-4128-AB83-CC6589E3466D}"/>
                </a:ext>
              </a:extLst>
            </xdr:cNvPr>
            <xdr:cNvSpPr txBox="1"/>
          </xdr:nvSpPr>
          <xdr:spPr>
            <a:xfrm>
              <a:off x="2067502" y="8521988"/>
              <a:ext cx="408189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𝐾𝑒^(−𝑟𝑇)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39255</xdr:colOff>
      <xdr:row>47</xdr:row>
      <xdr:rowOff>27709</xdr:rowOff>
    </xdr:from>
    <xdr:ext cx="939873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0EA574F-40DA-48CB-92C7-EF7DE58D65D7}"/>
                </a:ext>
              </a:extLst>
            </xdr:cNvPr>
            <xdr:cNvSpPr txBox="1"/>
          </xdr:nvSpPr>
          <xdr:spPr>
            <a:xfrm>
              <a:off x="2477655" y="8536709"/>
              <a:ext cx="939873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𝑆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𝑞𝑇</m:t>
                        </m:r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𝐾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𝑟𝑇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0EA574F-40DA-48CB-92C7-EF7DE58D65D7}"/>
                </a:ext>
              </a:extLst>
            </xdr:cNvPr>
            <xdr:cNvSpPr txBox="1"/>
          </xdr:nvSpPr>
          <xdr:spPr>
            <a:xfrm>
              <a:off x="2477655" y="8536709"/>
              <a:ext cx="939873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𝑆𝑒^(−𝑞𝑇)−𝐾𝑒^(−𝑟𝑇)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</xdr:col>
      <xdr:colOff>327891</xdr:colOff>
      <xdr:row>54</xdr:row>
      <xdr:rowOff>27708</xdr:rowOff>
    </xdr:from>
    <xdr:ext cx="35971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2BC6C0C-8195-40DA-B000-5C702CFCE3CD}"/>
                </a:ext>
              </a:extLst>
            </xdr:cNvPr>
            <xdr:cNvSpPr txBox="1"/>
          </xdr:nvSpPr>
          <xdr:spPr>
            <a:xfrm>
              <a:off x="1550266" y="9803533"/>
              <a:ext cx="3597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𝐶𝑚𝑖𝑑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2BC6C0C-8195-40DA-B000-5C702CFCE3CD}"/>
                </a:ext>
              </a:extLst>
            </xdr:cNvPr>
            <xdr:cNvSpPr txBox="1"/>
          </xdr:nvSpPr>
          <xdr:spPr>
            <a:xfrm>
              <a:off x="1550266" y="9803533"/>
              <a:ext cx="35971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𝐶𝑚𝑖𝑑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3</xdr:col>
      <xdr:colOff>270163</xdr:colOff>
      <xdr:row>54</xdr:row>
      <xdr:rowOff>27708</xdr:rowOff>
    </xdr:from>
    <xdr:ext cx="36298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6E90243-F730-4012-8935-E7418B3BF007}"/>
                </a:ext>
              </a:extLst>
            </xdr:cNvPr>
            <xdr:cNvSpPr txBox="1"/>
          </xdr:nvSpPr>
          <xdr:spPr>
            <a:xfrm>
              <a:off x="2102138" y="9803533"/>
              <a:ext cx="36298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𝑃𝑚𝑖𝑑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6E90243-F730-4012-8935-E7418B3BF007}"/>
                </a:ext>
              </a:extLst>
            </xdr:cNvPr>
            <xdr:cNvSpPr txBox="1"/>
          </xdr:nvSpPr>
          <xdr:spPr>
            <a:xfrm>
              <a:off x="2102138" y="9803533"/>
              <a:ext cx="36298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𝑃𝑚𝑖𝑑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339437</xdr:colOff>
      <xdr:row>54</xdr:row>
      <xdr:rowOff>16163</xdr:rowOff>
    </xdr:from>
    <xdr:ext cx="37580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F7A55E3-0054-45EF-8753-4265EAA371CD}"/>
                </a:ext>
              </a:extLst>
            </xdr:cNvPr>
            <xdr:cNvSpPr txBox="1"/>
          </xdr:nvSpPr>
          <xdr:spPr>
            <a:xfrm>
              <a:off x="2774662" y="9788813"/>
              <a:ext cx="37580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𝑃</m:t>
                    </m:r>
                  </m:oMath>
                </m:oMathPara>
              </a14:m>
              <a:endParaRPr lang="en-GB" sz="1100" b="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F7A55E3-0054-45EF-8753-4265EAA371CD}"/>
                </a:ext>
              </a:extLst>
            </xdr:cNvPr>
            <xdr:cNvSpPr txBox="1"/>
          </xdr:nvSpPr>
          <xdr:spPr>
            <a:xfrm>
              <a:off x="2774662" y="9788813"/>
              <a:ext cx="37580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𝐶−𝑃</a:t>
              </a:r>
              <a:endParaRPr lang="en-GB" sz="1100" b="0"/>
            </a:p>
          </xdr:txBody>
        </xdr:sp>
      </mc:Fallback>
    </mc:AlternateContent>
    <xdr:clientData/>
  </xdr:oneCellAnchor>
  <xdr:oneCellAnchor>
    <xdr:from>
      <xdr:col>2</xdr:col>
      <xdr:colOff>258619</xdr:colOff>
      <xdr:row>60</xdr:row>
      <xdr:rowOff>39255</xdr:rowOff>
    </xdr:from>
    <xdr:ext cx="389915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954E0E8-3F02-44E0-BF52-05EB3FC05579}"/>
                </a:ext>
              </a:extLst>
            </xdr:cNvPr>
            <xdr:cNvSpPr txBox="1"/>
          </xdr:nvSpPr>
          <xdr:spPr>
            <a:xfrm>
              <a:off x="1474644" y="10897755"/>
              <a:ext cx="389915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𝑆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𝑞𝑇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954E0E8-3F02-44E0-BF52-05EB3FC05579}"/>
                </a:ext>
              </a:extLst>
            </xdr:cNvPr>
            <xdr:cNvSpPr txBox="1"/>
          </xdr:nvSpPr>
          <xdr:spPr>
            <a:xfrm>
              <a:off x="1474644" y="10897755"/>
              <a:ext cx="389915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𝑆𝑒^(−𝑞𝑇)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3</xdr:col>
      <xdr:colOff>293255</xdr:colOff>
      <xdr:row>60</xdr:row>
      <xdr:rowOff>27709</xdr:rowOff>
    </xdr:from>
    <xdr:ext cx="408189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1658241C-E2CB-482B-8DDC-54E80816E991}"/>
                </a:ext>
              </a:extLst>
            </xdr:cNvPr>
            <xdr:cNvSpPr txBox="1"/>
          </xdr:nvSpPr>
          <xdr:spPr>
            <a:xfrm>
              <a:off x="2125230" y="10889384"/>
              <a:ext cx="408189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𝐾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𝑟𝑇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1658241C-E2CB-482B-8DDC-54E80816E991}"/>
                </a:ext>
              </a:extLst>
            </xdr:cNvPr>
            <xdr:cNvSpPr txBox="1"/>
          </xdr:nvSpPr>
          <xdr:spPr>
            <a:xfrm>
              <a:off x="2125230" y="10889384"/>
              <a:ext cx="408189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𝐾𝑒^(−𝑟𝑇)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4</xdr:col>
      <xdr:colOff>189345</xdr:colOff>
      <xdr:row>60</xdr:row>
      <xdr:rowOff>16164</xdr:rowOff>
    </xdr:from>
    <xdr:ext cx="660822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ACCA6045-BCC1-4302-A562-B7050FF49CEA}"/>
                </a:ext>
              </a:extLst>
            </xdr:cNvPr>
            <xdr:cNvSpPr txBox="1"/>
          </xdr:nvSpPr>
          <xdr:spPr>
            <a:xfrm>
              <a:off x="2627745" y="10874664"/>
              <a:ext cx="660822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𝑆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𝑞𝑇</m:t>
                        </m:r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𝐾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ACCA6045-BCC1-4302-A562-B7050FF49CEA}"/>
                </a:ext>
              </a:extLst>
            </xdr:cNvPr>
            <xdr:cNvSpPr txBox="1"/>
          </xdr:nvSpPr>
          <xdr:spPr>
            <a:xfrm>
              <a:off x="2627745" y="10874664"/>
              <a:ext cx="660822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𝑆𝑒^(−𝑞𝑇)−𝐾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10</xdr:col>
      <xdr:colOff>0</xdr:colOff>
      <xdr:row>49</xdr:row>
      <xdr:rowOff>110389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5F9E43D-7FD1-48AA-9F4D-235CD2A1B70B}"/>
            </a:ext>
          </a:extLst>
        </xdr:cNvPr>
        <xdr:cNvSpPr txBox="1"/>
      </xdr:nvSpPr>
      <xdr:spPr>
        <a:xfrm>
          <a:off x="6096000" y="897498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52</xdr:row>
      <xdr:rowOff>81334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FF5A371-E443-4B9B-976D-C418527E942E}"/>
            </a:ext>
          </a:extLst>
        </xdr:cNvPr>
        <xdr:cNvSpPr txBox="1"/>
      </xdr:nvSpPr>
      <xdr:spPr>
        <a:xfrm>
          <a:off x="6096000" y="949520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50</xdr:row>
      <xdr:rowOff>32776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7E038B8-3A30-4302-A53C-C6E039A16D51}"/>
            </a:ext>
          </a:extLst>
        </xdr:cNvPr>
        <xdr:cNvSpPr txBox="1"/>
      </xdr:nvSpPr>
      <xdr:spPr>
        <a:xfrm>
          <a:off x="6096000" y="907835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10</xdr:col>
      <xdr:colOff>0</xdr:colOff>
      <xdr:row>54</xdr:row>
      <xdr:rowOff>19050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0AEFAC3-F133-4FFE-A0F2-31FBC89ED7DC}"/>
            </a:ext>
          </a:extLst>
        </xdr:cNvPr>
        <xdr:cNvSpPr txBox="1"/>
      </xdr:nvSpPr>
      <xdr:spPr>
        <a:xfrm>
          <a:off x="6096000" y="9791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</xdr:col>
      <xdr:colOff>143163</xdr:colOff>
      <xdr:row>60</xdr:row>
      <xdr:rowOff>27710</xdr:rowOff>
    </xdr:from>
    <xdr:ext cx="653705" cy="177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9F5BF61-1F6E-4A9F-8610-5897976F1A72}"/>
                </a:ext>
              </a:extLst>
            </xdr:cNvPr>
            <xdr:cNvSpPr txBox="1"/>
          </xdr:nvSpPr>
          <xdr:spPr>
            <a:xfrm>
              <a:off x="3187988" y="10889385"/>
              <a:ext cx="653705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𝐾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𝑟𝑇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9F5BF61-1F6E-4A9F-8610-5897976F1A72}"/>
                </a:ext>
              </a:extLst>
            </xdr:cNvPr>
            <xdr:cNvSpPr txBox="1"/>
          </xdr:nvSpPr>
          <xdr:spPr>
            <a:xfrm>
              <a:off x="3187988" y="10889385"/>
              <a:ext cx="653705" cy="1772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𝑆−𝐾𝑒^(−𝑟𝑇)</a:t>
              </a:r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77AD-99B7-4C54-9C16-1B57B35B11AD}">
  <dimension ref="A1:M77"/>
  <sheetViews>
    <sheetView topLeftCell="A7" zoomScale="60" zoomScaleNormal="60" workbookViewId="0">
      <selection activeCell="E2" sqref="E2"/>
    </sheetView>
  </sheetViews>
  <sheetFormatPr defaultRowHeight="14.5" x14ac:dyDescent="0.35"/>
  <cols>
    <col min="1" max="1" width="33.7265625" bestFit="1" customWidth="1"/>
    <col min="2" max="2" width="41.26953125" bestFit="1" customWidth="1"/>
    <col min="3" max="3" width="16.54296875" customWidth="1"/>
    <col min="4" max="4" width="15.1796875" customWidth="1"/>
    <col min="5" max="5" width="15.54296875" customWidth="1"/>
    <col min="6" max="6" width="12.26953125" customWidth="1"/>
  </cols>
  <sheetData>
    <row r="1" spans="1:6" x14ac:dyDescent="0.35">
      <c r="A1" s="71" t="s">
        <v>146</v>
      </c>
    </row>
    <row r="3" spans="1:6" x14ac:dyDescent="0.35">
      <c r="A3" s="71" t="s">
        <v>145</v>
      </c>
    </row>
    <row r="4" spans="1:6" x14ac:dyDescent="0.35">
      <c r="B4" s="94" t="s">
        <v>144</v>
      </c>
      <c r="C4" s="69" t="s">
        <v>143</v>
      </c>
      <c r="D4" s="91" t="s">
        <v>142</v>
      </c>
    </row>
    <row r="5" spans="1:6" x14ac:dyDescent="0.35">
      <c r="B5" s="85" t="s">
        <v>141</v>
      </c>
      <c r="C5" s="66">
        <v>3302.46</v>
      </c>
      <c r="D5" s="90">
        <v>3303.02</v>
      </c>
    </row>
    <row r="6" spans="1:6" x14ac:dyDescent="0.35">
      <c r="B6" s="85" t="s">
        <v>140</v>
      </c>
      <c r="C6" s="66">
        <v>3.7100000000000001E-2</v>
      </c>
      <c r="D6" s="90">
        <v>3.7100000000000001E-2</v>
      </c>
    </row>
    <row r="7" spans="1:6" x14ac:dyDescent="0.35">
      <c r="B7" s="85" t="s">
        <v>139</v>
      </c>
      <c r="C7" s="66">
        <v>0.11509999999999999</v>
      </c>
      <c r="D7" s="90">
        <v>0.11509999999999999</v>
      </c>
    </row>
    <row r="8" spans="1:6" x14ac:dyDescent="0.35">
      <c r="B8" s="85" t="s">
        <v>138</v>
      </c>
      <c r="C8" s="66">
        <v>8.3000000000000001E-3</v>
      </c>
      <c r="D8" s="90">
        <v>8.3000000000000001E-3</v>
      </c>
    </row>
    <row r="9" spans="1:6" x14ac:dyDescent="0.35">
      <c r="B9" s="85" t="s">
        <v>137</v>
      </c>
      <c r="C9" s="66">
        <v>3320</v>
      </c>
      <c r="D9" s="90">
        <v>3320</v>
      </c>
    </row>
    <row r="10" spans="1:6" x14ac:dyDescent="0.35">
      <c r="B10" s="85" t="s">
        <v>136</v>
      </c>
      <c r="C10" s="66">
        <v>3300</v>
      </c>
      <c r="D10" s="90">
        <v>3300</v>
      </c>
    </row>
    <row r="11" spans="1:6" x14ac:dyDescent="0.35">
      <c r="B11" s="83" t="s">
        <v>135</v>
      </c>
      <c r="C11" s="63">
        <v>3390</v>
      </c>
      <c r="D11" s="89">
        <v>3390</v>
      </c>
    </row>
    <row r="12" spans="1:6" x14ac:dyDescent="0.35">
      <c r="A12" s="71"/>
    </row>
    <row r="13" spans="1:6" x14ac:dyDescent="0.35">
      <c r="A13" s="71" t="s">
        <v>134</v>
      </c>
    </row>
    <row r="14" spans="1:6" x14ac:dyDescent="0.35">
      <c r="B14" t="s">
        <v>112</v>
      </c>
    </row>
    <row r="15" spans="1:6" x14ac:dyDescent="0.35">
      <c r="B15" s="70" t="s">
        <v>103</v>
      </c>
      <c r="C15" s="69" t="s">
        <v>132</v>
      </c>
      <c r="D15" s="80" t="s">
        <v>131</v>
      </c>
      <c r="E15" s="69" t="s">
        <v>133</v>
      </c>
      <c r="F15" s="68" t="s">
        <v>129</v>
      </c>
    </row>
    <row r="16" spans="1:6" x14ac:dyDescent="0.35">
      <c r="B16" s="67">
        <v>3320</v>
      </c>
      <c r="C16" s="66">
        <v>141.5</v>
      </c>
      <c r="D16" s="78">
        <v>199.5</v>
      </c>
      <c r="E16" s="66">
        <v>44.1</v>
      </c>
      <c r="F16" s="93">
        <v>84.1</v>
      </c>
    </row>
    <row r="17" spans="1:6" x14ac:dyDescent="0.35">
      <c r="B17" s="67">
        <v>3300</v>
      </c>
      <c r="C17" s="66">
        <v>90.5</v>
      </c>
      <c r="D17" s="78">
        <v>130.5</v>
      </c>
      <c r="E17" s="66">
        <v>73.099999999999994</v>
      </c>
      <c r="F17" s="93">
        <v>113.1</v>
      </c>
    </row>
    <row r="18" spans="1:6" x14ac:dyDescent="0.35">
      <c r="B18" s="64">
        <v>3390</v>
      </c>
      <c r="C18" s="63">
        <v>35.200000000000003</v>
      </c>
      <c r="D18" s="81">
        <v>75.2</v>
      </c>
      <c r="E18" s="63">
        <v>101.6</v>
      </c>
      <c r="F18" s="92">
        <v>159.6</v>
      </c>
    </row>
    <row r="20" spans="1:6" x14ac:dyDescent="0.35">
      <c r="B20" t="s">
        <v>110</v>
      </c>
    </row>
    <row r="21" spans="1:6" x14ac:dyDescent="0.35">
      <c r="B21" s="61" t="s">
        <v>103</v>
      </c>
      <c r="C21" s="59" t="s">
        <v>132</v>
      </c>
      <c r="D21" s="60" t="s">
        <v>131</v>
      </c>
      <c r="E21" s="59" t="s">
        <v>130</v>
      </c>
      <c r="F21" s="91" t="s">
        <v>129</v>
      </c>
    </row>
    <row r="22" spans="1:6" x14ac:dyDescent="0.35">
      <c r="B22" s="58">
        <v>3320</v>
      </c>
      <c r="C22" s="57">
        <v>137.19999999999999</v>
      </c>
      <c r="D22" s="74">
        <v>195.2</v>
      </c>
      <c r="E22" s="57">
        <v>51.6</v>
      </c>
      <c r="F22" s="90">
        <v>91.6</v>
      </c>
    </row>
    <row r="23" spans="1:6" x14ac:dyDescent="0.35">
      <c r="B23" s="58">
        <v>3300</v>
      </c>
      <c r="C23" s="57">
        <v>88.5</v>
      </c>
      <c r="D23" s="74">
        <v>128.5</v>
      </c>
      <c r="E23" s="57">
        <v>72.400000000000006</v>
      </c>
      <c r="F23" s="90">
        <v>112.4</v>
      </c>
    </row>
    <row r="24" spans="1:6" x14ac:dyDescent="0.35">
      <c r="B24" s="54">
        <v>3390</v>
      </c>
      <c r="C24" s="53">
        <v>34.799999999999997</v>
      </c>
      <c r="D24" s="73">
        <v>74.8</v>
      </c>
      <c r="E24" s="53">
        <v>101.4</v>
      </c>
      <c r="F24" s="89">
        <v>159.4</v>
      </c>
    </row>
    <row r="26" spans="1:6" x14ac:dyDescent="0.35">
      <c r="A26" s="71" t="s">
        <v>128</v>
      </c>
    </row>
    <row r="27" spans="1:6" x14ac:dyDescent="0.35">
      <c r="A27" s="71" t="s">
        <v>127</v>
      </c>
      <c r="B27" s="88"/>
    </row>
    <row r="28" spans="1:6" x14ac:dyDescent="0.35">
      <c r="B28" t="s">
        <v>126</v>
      </c>
    </row>
    <row r="31" spans="1:6" x14ac:dyDescent="0.35">
      <c r="B31" t="s">
        <v>125</v>
      </c>
    </row>
    <row r="34" spans="1:5" x14ac:dyDescent="0.35">
      <c r="A34" s="71" t="s">
        <v>124</v>
      </c>
    </row>
    <row r="35" spans="1:5" x14ac:dyDescent="0.35">
      <c r="B35" s="87"/>
      <c r="C35" s="86">
        <f>C7*C8</f>
        <v>9.5533E-4</v>
      </c>
    </row>
    <row r="36" spans="1:5" x14ac:dyDescent="0.35">
      <c r="B36" s="85"/>
      <c r="C36" s="84">
        <v>0.99904499999999996</v>
      </c>
    </row>
    <row r="37" spans="1:5" x14ac:dyDescent="0.35">
      <c r="B37" s="85"/>
      <c r="C37" s="84">
        <f>C6*C7</f>
        <v>4.27021E-3</v>
      </c>
    </row>
    <row r="38" spans="1:5" x14ac:dyDescent="0.35">
      <c r="B38" s="83"/>
      <c r="C38" s="82">
        <v>0.99573</v>
      </c>
    </row>
    <row r="40" spans="1:5" x14ac:dyDescent="0.35">
      <c r="A40" s="71" t="s">
        <v>123</v>
      </c>
    </row>
    <row r="41" spans="1:5" x14ac:dyDescent="0.35">
      <c r="B41" t="s">
        <v>120</v>
      </c>
    </row>
    <row r="42" spans="1:5" x14ac:dyDescent="0.35">
      <c r="B42" s="70"/>
      <c r="C42" s="69"/>
      <c r="D42" s="80"/>
      <c r="E42" s="69"/>
    </row>
    <row r="43" spans="1:5" x14ac:dyDescent="0.35">
      <c r="B43" s="67" t="s">
        <v>116</v>
      </c>
      <c r="C43" s="66">
        <f>(C16+D16)/2</f>
        <v>170.5</v>
      </c>
      <c r="D43" s="78">
        <f>(E16+F16)/2</f>
        <v>64.099999999999994</v>
      </c>
      <c r="E43" s="66">
        <f>C43-D43</f>
        <v>106.4</v>
      </c>
    </row>
    <row r="44" spans="1:5" x14ac:dyDescent="0.35">
      <c r="B44" s="67" t="s">
        <v>115</v>
      </c>
      <c r="C44" s="66">
        <f>(C17+D17)/2</f>
        <v>110.5</v>
      </c>
      <c r="D44" s="78">
        <f>(E17+F17)/2</f>
        <v>93.1</v>
      </c>
      <c r="E44" s="66">
        <f>C44-D44</f>
        <v>17.400000000000006</v>
      </c>
    </row>
    <row r="45" spans="1:5" x14ac:dyDescent="0.35">
      <c r="B45" s="64" t="s">
        <v>114</v>
      </c>
      <c r="C45" s="63">
        <f>(C18+D18)/2</f>
        <v>55.2</v>
      </c>
      <c r="D45" s="81">
        <f>(E18+F18)/2</f>
        <v>130.6</v>
      </c>
      <c r="E45" s="63">
        <f>C45-D45</f>
        <v>-75.399999999999991</v>
      </c>
    </row>
    <row r="47" spans="1:5" x14ac:dyDescent="0.35">
      <c r="B47" t="s">
        <v>122</v>
      </c>
    </row>
    <row r="48" spans="1:5" x14ac:dyDescent="0.35">
      <c r="B48" s="70"/>
      <c r="C48" s="69"/>
      <c r="D48" s="80"/>
      <c r="E48" s="69"/>
    </row>
    <row r="49" spans="1:13" x14ac:dyDescent="0.35">
      <c r="B49" s="67" t="s">
        <v>116</v>
      </c>
      <c r="C49" s="77">
        <f>C5*C36</f>
        <v>3299.3061506999998</v>
      </c>
      <c r="D49" s="79">
        <f>C9*C38</f>
        <v>3305.8236000000002</v>
      </c>
      <c r="E49" s="77">
        <f>C49-D49</f>
        <v>-6.5174493000004077</v>
      </c>
    </row>
    <row r="50" spans="1:13" x14ac:dyDescent="0.35">
      <c r="B50" s="67" t="s">
        <v>115</v>
      </c>
      <c r="C50" s="77">
        <f>C5*C36</f>
        <v>3299.3061506999998</v>
      </c>
      <c r="D50" s="78">
        <f>C10*C38</f>
        <v>3285.9090000000001</v>
      </c>
      <c r="E50" s="77">
        <f>C50-D50</f>
        <v>13.397150699999656</v>
      </c>
      <c r="M50" s="72"/>
    </row>
    <row r="51" spans="1:13" x14ac:dyDescent="0.35">
      <c r="B51" s="64" t="s">
        <v>114</v>
      </c>
      <c r="C51" s="75">
        <f>C5*C36</f>
        <v>3299.3061506999998</v>
      </c>
      <c r="D51" s="76">
        <f>C11*C38</f>
        <v>3375.5246999999999</v>
      </c>
      <c r="E51" s="75">
        <f>C51-D51</f>
        <v>-76.218549300000177</v>
      </c>
      <c r="K51" s="72"/>
    </row>
    <row r="52" spans="1:13" x14ac:dyDescent="0.35">
      <c r="K52" s="72"/>
    </row>
    <row r="53" spans="1:13" x14ac:dyDescent="0.35">
      <c r="A53" s="71" t="s">
        <v>121</v>
      </c>
      <c r="K53" s="72"/>
    </row>
    <row r="54" spans="1:13" x14ac:dyDescent="0.35">
      <c r="B54" t="s">
        <v>120</v>
      </c>
    </row>
    <row r="55" spans="1:13" x14ac:dyDescent="0.35">
      <c r="B55" s="61"/>
      <c r="C55" s="59"/>
      <c r="D55" s="60"/>
      <c r="E55" s="59"/>
      <c r="K55" s="72"/>
    </row>
    <row r="56" spans="1:13" x14ac:dyDescent="0.35">
      <c r="B56" s="58" t="s">
        <v>116</v>
      </c>
      <c r="C56" s="57">
        <f>(C22+D22)/2</f>
        <v>166.2</v>
      </c>
      <c r="D56" s="74">
        <f>(E22+F22)/2</f>
        <v>71.599999999999994</v>
      </c>
      <c r="E56" s="57">
        <f>C56-D56</f>
        <v>94.6</v>
      </c>
      <c r="K56" s="72"/>
    </row>
    <row r="57" spans="1:13" x14ac:dyDescent="0.35">
      <c r="B57" s="58" t="s">
        <v>115</v>
      </c>
      <c r="C57" s="57">
        <f>(C23+D23)/2</f>
        <v>108.5</v>
      </c>
      <c r="D57" s="74">
        <f>(E23+F23)/2</f>
        <v>92.4</v>
      </c>
      <c r="E57" s="57">
        <f>C57-D57</f>
        <v>16.099999999999994</v>
      </c>
      <c r="K57" s="72"/>
    </row>
    <row r="58" spans="1:13" x14ac:dyDescent="0.35">
      <c r="B58" s="54" t="s">
        <v>114</v>
      </c>
      <c r="C58" s="53">
        <f>(C24+D24)/2</f>
        <v>54.8</v>
      </c>
      <c r="D58" s="73">
        <f>(E24+F24)/2</f>
        <v>130.4</v>
      </c>
      <c r="E58" s="53">
        <f>C58-D58</f>
        <v>-75.600000000000009</v>
      </c>
    </row>
    <row r="59" spans="1:13" x14ac:dyDescent="0.35">
      <c r="K59" s="72"/>
    </row>
    <row r="60" spans="1:13" x14ac:dyDescent="0.35">
      <c r="B60" t="s">
        <v>119</v>
      </c>
      <c r="E60" t="s">
        <v>118</v>
      </c>
      <c r="F60" t="s">
        <v>117</v>
      </c>
      <c r="K60" s="72"/>
    </row>
    <row r="61" spans="1:13" x14ac:dyDescent="0.35">
      <c r="B61" s="61"/>
      <c r="C61" s="59"/>
      <c r="D61" s="60"/>
      <c r="E61" s="59"/>
      <c r="F61" s="59"/>
    </row>
    <row r="62" spans="1:13" x14ac:dyDescent="0.35">
      <c r="B62" s="58" t="s">
        <v>116</v>
      </c>
      <c r="C62" s="55">
        <f>D5*C36</f>
        <v>3299.8656158999997</v>
      </c>
      <c r="D62" s="56">
        <f>D9*C38</f>
        <v>3305.8236000000002</v>
      </c>
      <c r="E62" s="55">
        <f>C62-D9</f>
        <v>-20.134384100000261</v>
      </c>
      <c r="F62" s="55">
        <f>D5-D62</f>
        <v>-2.8036000000001877</v>
      </c>
    </row>
    <row r="63" spans="1:13" x14ac:dyDescent="0.35">
      <c r="B63" s="58" t="s">
        <v>115</v>
      </c>
      <c r="C63" s="55">
        <f>D5*C36</f>
        <v>3299.8656158999997</v>
      </c>
      <c r="D63" s="56">
        <f>D10*C38</f>
        <v>3285.9090000000001</v>
      </c>
      <c r="E63" s="55">
        <f>C63-D10</f>
        <v>-0.13438410000026124</v>
      </c>
      <c r="F63" s="55">
        <f>D5-D63</f>
        <v>17.110999999999876</v>
      </c>
    </row>
    <row r="64" spans="1:13" x14ac:dyDescent="0.35">
      <c r="B64" s="54" t="s">
        <v>114</v>
      </c>
      <c r="C64" s="51">
        <f>D5*C36</f>
        <v>3299.8656158999997</v>
      </c>
      <c r="D64" s="52">
        <f>D11*C38</f>
        <v>3375.5246999999999</v>
      </c>
      <c r="E64" s="51">
        <f>C64-D11</f>
        <v>-90.134384100000261</v>
      </c>
      <c r="F64" s="51">
        <f>D5-D64</f>
        <v>-72.504699999999957</v>
      </c>
    </row>
    <row r="66" spans="1:5" x14ac:dyDescent="0.35">
      <c r="A66" s="71" t="s">
        <v>113</v>
      </c>
    </row>
    <row r="67" spans="1:5" x14ac:dyDescent="0.35">
      <c r="B67" t="s">
        <v>112</v>
      </c>
    </row>
    <row r="68" spans="1:5" x14ac:dyDescent="0.35">
      <c r="B68" s="70" t="s">
        <v>103</v>
      </c>
      <c r="C68" s="69" t="s">
        <v>109</v>
      </c>
      <c r="D68" s="68" t="s">
        <v>111</v>
      </c>
    </row>
    <row r="69" spans="1:5" x14ac:dyDescent="0.35">
      <c r="B69" s="67">
        <v>3320</v>
      </c>
      <c r="C69" s="66">
        <f>E43</f>
        <v>106.4</v>
      </c>
      <c r="D69" s="65">
        <f>E49</f>
        <v>-6.5174493000004077</v>
      </c>
    </row>
    <row r="70" spans="1:5" x14ac:dyDescent="0.35">
      <c r="B70" s="67">
        <v>3300</v>
      </c>
      <c r="C70" s="66">
        <f>E44</f>
        <v>17.400000000000006</v>
      </c>
      <c r="D70" s="65">
        <f>E50</f>
        <v>13.397150699999656</v>
      </c>
    </row>
    <row r="71" spans="1:5" x14ac:dyDescent="0.35">
      <c r="B71" s="64">
        <v>3390</v>
      </c>
      <c r="C71" s="63">
        <f>E45</f>
        <v>-75.399999999999991</v>
      </c>
      <c r="D71" s="62">
        <f>E51</f>
        <v>-76.218549300000177</v>
      </c>
    </row>
    <row r="73" spans="1:5" x14ac:dyDescent="0.35">
      <c r="B73" t="s">
        <v>110</v>
      </c>
    </row>
    <row r="74" spans="1:5" x14ac:dyDescent="0.35">
      <c r="B74" s="61" t="s">
        <v>103</v>
      </c>
      <c r="C74" s="59" t="s">
        <v>109</v>
      </c>
      <c r="D74" s="60" t="s">
        <v>108</v>
      </c>
      <c r="E74" s="59" t="s">
        <v>107</v>
      </c>
    </row>
    <row r="75" spans="1:5" x14ac:dyDescent="0.35">
      <c r="B75" s="58">
        <v>3320</v>
      </c>
      <c r="C75" s="57">
        <f>E56</f>
        <v>94.6</v>
      </c>
      <c r="D75" s="56">
        <f t="shared" ref="D75:E77" si="0">E62</f>
        <v>-20.134384100000261</v>
      </c>
      <c r="E75" s="55">
        <f t="shared" si="0"/>
        <v>-2.8036000000001877</v>
      </c>
    </row>
    <row r="76" spans="1:5" x14ac:dyDescent="0.35">
      <c r="B76" s="58">
        <v>3300</v>
      </c>
      <c r="C76" s="57">
        <f>E57</f>
        <v>16.099999999999994</v>
      </c>
      <c r="D76" s="56">
        <f t="shared" si="0"/>
        <v>-0.13438410000026124</v>
      </c>
      <c r="E76" s="55">
        <f t="shared" si="0"/>
        <v>17.110999999999876</v>
      </c>
    </row>
    <row r="77" spans="1:5" x14ac:dyDescent="0.35">
      <c r="B77" s="54">
        <v>3390</v>
      </c>
      <c r="C77" s="53">
        <f>E58</f>
        <v>-75.600000000000009</v>
      </c>
      <c r="D77" s="52">
        <f t="shared" si="0"/>
        <v>-90.134384100000261</v>
      </c>
      <c r="E77" s="51">
        <f t="shared" si="0"/>
        <v>-72.504699999999957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88A4-66D5-4FB3-B7F9-A303785E2677}">
  <dimension ref="A1:L44"/>
  <sheetViews>
    <sheetView workbookViewId="0">
      <selection activeCell="O11" sqref="O11"/>
    </sheetView>
  </sheetViews>
  <sheetFormatPr defaultRowHeight="14.5" x14ac:dyDescent="0.35"/>
  <cols>
    <col min="2" max="4" width="9.54296875" bestFit="1" customWidth="1"/>
    <col min="8" max="10" width="10.54296875" bestFit="1" customWidth="1"/>
  </cols>
  <sheetData>
    <row r="1" spans="1:12" x14ac:dyDescent="0.35">
      <c r="A1" s="106" t="s">
        <v>177</v>
      </c>
      <c r="B1" s="109" t="s">
        <v>1</v>
      </c>
      <c r="C1" s="108" t="s">
        <v>2</v>
      </c>
      <c r="D1" s="107" t="s">
        <v>3</v>
      </c>
      <c r="E1" s="43"/>
      <c r="F1" s="43"/>
      <c r="G1" s="106" t="s">
        <v>176</v>
      </c>
      <c r="H1" s="105" t="s">
        <v>1</v>
      </c>
      <c r="I1" s="104" t="s">
        <v>2</v>
      </c>
      <c r="J1" s="103" t="s">
        <v>3</v>
      </c>
      <c r="K1" s="43"/>
      <c r="L1" s="43"/>
    </row>
    <row r="2" spans="1:12" x14ac:dyDescent="0.35">
      <c r="A2" s="113" t="s">
        <v>158</v>
      </c>
      <c r="B2" s="122">
        <v>3303</v>
      </c>
      <c r="C2" s="121">
        <v>3303</v>
      </c>
      <c r="D2" s="120">
        <v>3303</v>
      </c>
      <c r="E2" s="43"/>
      <c r="F2" s="43"/>
      <c r="G2" s="113" t="s">
        <v>158</v>
      </c>
      <c r="H2" s="119">
        <v>3302</v>
      </c>
      <c r="I2" s="118">
        <v>3302</v>
      </c>
      <c r="J2" s="117">
        <v>3302</v>
      </c>
      <c r="K2" s="43"/>
      <c r="L2" s="43"/>
    </row>
    <row r="3" spans="1:12" x14ac:dyDescent="0.35">
      <c r="A3" s="113" t="s">
        <v>155</v>
      </c>
      <c r="B3" s="122">
        <v>3220</v>
      </c>
      <c r="C3" s="121">
        <v>3300</v>
      </c>
      <c r="D3" s="120">
        <v>3390</v>
      </c>
      <c r="E3" s="43"/>
      <c r="F3" s="43"/>
      <c r="G3" s="113" t="s">
        <v>155</v>
      </c>
      <c r="H3" s="119">
        <v>3220</v>
      </c>
      <c r="I3" s="118">
        <v>3300</v>
      </c>
      <c r="J3" s="117">
        <v>3390</v>
      </c>
      <c r="K3" s="43"/>
      <c r="L3" s="43"/>
    </row>
    <row r="4" spans="1:12" x14ac:dyDescent="0.35">
      <c r="A4" s="113" t="s">
        <v>153</v>
      </c>
      <c r="B4" s="137">
        <v>3.7100000000000001E-2</v>
      </c>
      <c r="C4" s="136">
        <v>3.7100000000000001E-2</v>
      </c>
      <c r="D4" s="135">
        <v>3.7100000000000001E-2</v>
      </c>
      <c r="E4" s="43"/>
      <c r="F4" s="43"/>
      <c r="G4" s="113" t="s">
        <v>153</v>
      </c>
      <c r="H4" s="134">
        <v>3.7100000000000001E-2</v>
      </c>
      <c r="I4" s="133">
        <v>3.7100000000000001E-2</v>
      </c>
      <c r="J4" s="132">
        <v>3.7100000000000001E-2</v>
      </c>
      <c r="K4" s="43"/>
      <c r="L4" s="43"/>
    </row>
    <row r="5" spans="1:12" x14ac:dyDescent="0.35">
      <c r="A5" s="113" t="s">
        <v>151</v>
      </c>
      <c r="B5" s="137">
        <v>8.3000000000000001E-3</v>
      </c>
      <c r="C5" s="136">
        <v>8.3000000000000001E-3</v>
      </c>
      <c r="D5" s="135">
        <v>8.3000000000000001E-3</v>
      </c>
      <c r="E5" s="43"/>
      <c r="F5" s="43"/>
      <c r="G5" s="113" t="s">
        <v>151</v>
      </c>
      <c r="H5" s="134">
        <v>8.3000000000000001E-3</v>
      </c>
      <c r="I5" s="133">
        <v>8.3000000000000001E-3</v>
      </c>
      <c r="J5" s="132">
        <v>8.3000000000000001E-3</v>
      </c>
      <c r="K5" s="43"/>
      <c r="L5" s="43"/>
    </row>
    <row r="6" spans="1:12" x14ac:dyDescent="0.35">
      <c r="A6" s="138" t="s">
        <v>160</v>
      </c>
      <c r="B6" s="137">
        <v>0.27729999999999999</v>
      </c>
      <c r="C6" s="136">
        <v>0.27729999999999999</v>
      </c>
      <c r="D6" s="135">
        <v>0.27729999999999999</v>
      </c>
      <c r="E6" s="43"/>
      <c r="F6" s="43"/>
      <c r="G6" s="138" t="s">
        <v>160</v>
      </c>
      <c r="H6" s="134">
        <v>0.27729999999999999</v>
      </c>
      <c r="I6" s="133">
        <v>0.27729999999999999</v>
      </c>
      <c r="J6" s="132">
        <v>0.27729999999999999</v>
      </c>
      <c r="K6" s="43"/>
      <c r="L6" s="43"/>
    </row>
    <row r="7" spans="1:12" x14ac:dyDescent="0.35">
      <c r="A7" s="138" t="s">
        <v>149</v>
      </c>
      <c r="B7" s="137">
        <f>42/365</f>
        <v>0.11506849315068493</v>
      </c>
      <c r="C7" s="136">
        <f>42/365</f>
        <v>0.11506849315068493</v>
      </c>
      <c r="D7" s="135">
        <f>42/365</f>
        <v>0.11506849315068493</v>
      </c>
      <c r="E7" s="43"/>
      <c r="F7" s="43"/>
      <c r="G7" s="113" t="s">
        <v>149</v>
      </c>
      <c r="H7" s="134">
        <f>42/365</f>
        <v>0.11506849315068493</v>
      </c>
      <c r="I7" s="133">
        <f>42/365</f>
        <v>0.11506849315068493</v>
      </c>
      <c r="J7" s="132">
        <f>42/365</f>
        <v>0.11506849315068493</v>
      </c>
      <c r="K7" s="43"/>
      <c r="L7" s="43"/>
    </row>
    <row r="8" spans="1:12" x14ac:dyDescent="0.35">
      <c r="A8" s="113"/>
      <c r="B8" s="137"/>
      <c r="C8" s="136"/>
      <c r="D8" s="135"/>
      <c r="E8" s="43"/>
      <c r="F8" s="43"/>
      <c r="G8" s="113"/>
      <c r="H8" s="134"/>
      <c r="I8" s="133"/>
      <c r="J8" s="132"/>
      <c r="K8" s="43"/>
      <c r="L8" s="43"/>
    </row>
    <row r="9" spans="1:12" x14ac:dyDescent="0.35">
      <c r="A9" s="113" t="s">
        <v>191</v>
      </c>
      <c r="B9" s="137">
        <f>(LN(B2/B3)+(B4-B5+(B6^2)/2)*B7)/(B6*SQRT(B7))</f>
        <v>0.35281847971499342</v>
      </c>
      <c r="C9" s="136">
        <f>(LN(C2/C3)+(C4-C5+(C6^2)/2)*C7)/(C6*SQRT(C7))</f>
        <v>9.1923272864467331E-2</v>
      </c>
      <c r="D9" s="135">
        <f>(LN(D2/D3)+(D4-D5+(D6^2)/2)*D7)/(D6*SQRT(D7))</f>
        <v>-0.19412840961488598</v>
      </c>
      <c r="E9" s="43"/>
      <c r="F9" s="43"/>
      <c r="G9" s="113" t="s">
        <v>191</v>
      </c>
      <c r="H9" s="134">
        <f>(LN(H2/H3)+(H4-H5+(H6^2)/2)*H7)/(H6*SQRT(H7))</f>
        <v>0.34959941954514223</v>
      </c>
      <c r="I9" s="133">
        <f>(LN(I2/I3)+(I4-I5+(I6^2)/2)*I7)/(I6*SQRT(I7))</f>
        <v>8.8704212694613829E-2</v>
      </c>
      <c r="J9" s="132">
        <f>(LN(J2/J3)+(J4-J5+(J6^2)/2)*J7)/(J6*SQRT(J7))</f>
        <v>-0.1973474697847388</v>
      </c>
      <c r="K9" s="43"/>
      <c r="L9" s="43"/>
    </row>
    <row r="10" spans="1:12" x14ac:dyDescent="0.35">
      <c r="A10" s="113" t="s">
        <v>190</v>
      </c>
      <c r="B10" s="137">
        <f>B9-B6*SQRT(B7)</f>
        <v>0.25875347479453997</v>
      </c>
      <c r="C10" s="136">
        <f>C9-C6*SQRT(C7)</f>
        <v>-2.1417320559861119E-3</v>
      </c>
      <c r="D10" s="135">
        <f>D9-D6*SQRT(D7)</f>
        <v>-0.28819341453533942</v>
      </c>
      <c r="E10" s="43"/>
      <c r="F10" s="43"/>
      <c r="G10" s="113" t="s">
        <v>190</v>
      </c>
      <c r="H10" s="134">
        <f>H9-H6*SQRT(H7)</f>
        <v>0.25553441462468879</v>
      </c>
      <c r="I10" s="133">
        <f>I9-I6*SQRT(I7)</f>
        <v>-5.360792225839614E-3</v>
      </c>
      <c r="J10" s="132">
        <f>J9-J6*SQRT(J7)</f>
        <v>-0.29141247470519227</v>
      </c>
      <c r="K10" s="43"/>
      <c r="L10" s="43"/>
    </row>
    <row r="11" spans="1:12" x14ac:dyDescent="0.35">
      <c r="A11" s="113"/>
      <c r="B11" s="137"/>
      <c r="C11" s="136"/>
      <c r="D11" s="135"/>
      <c r="E11" s="43"/>
      <c r="F11" s="43"/>
      <c r="G11" s="113"/>
      <c r="H11" s="134"/>
      <c r="I11" s="133"/>
      <c r="J11" s="132"/>
      <c r="K11" s="43"/>
      <c r="L11" s="43"/>
    </row>
    <row r="12" spans="1:12" x14ac:dyDescent="0.35">
      <c r="A12" s="113" t="s">
        <v>182</v>
      </c>
      <c r="B12" s="137">
        <f t="shared" ref="B12:D13" si="0">_xlfn.NORM.S.DIST(B9,TRUE)</f>
        <v>0.63788773560610512</v>
      </c>
      <c r="C12" s="136">
        <f t="shared" si="0"/>
        <v>0.53662049966410486</v>
      </c>
      <c r="D12" s="135">
        <f t="shared" si="0"/>
        <v>0.42303766854854902</v>
      </c>
      <c r="E12" s="43"/>
      <c r="F12" s="43"/>
      <c r="G12" s="113" t="s">
        <v>182</v>
      </c>
      <c r="H12" s="134">
        <f t="shared" ref="H12:J13" si="1">_xlfn.NORM.S.DIST(H9,TRUE)</f>
        <v>0.63668032669305286</v>
      </c>
      <c r="I12" s="133">
        <f t="shared" si="1"/>
        <v>0.53534150775487288</v>
      </c>
      <c r="J12" s="132">
        <f t="shared" si="1"/>
        <v>0.42177781708834006</v>
      </c>
      <c r="K12" s="43"/>
      <c r="L12" s="43"/>
    </row>
    <row r="13" spans="1:12" x14ac:dyDescent="0.35">
      <c r="A13" s="113" t="s">
        <v>184</v>
      </c>
      <c r="B13" s="137">
        <f t="shared" si="0"/>
        <v>0.60208727136986884</v>
      </c>
      <c r="C13" s="136">
        <f t="shared" si="0"/>
        <v>0.49914557318278768</v>
      </c>
      <c r="D13" s="135">
        <f t="shared" si="0"/>
        <v>0.38659934474276059</v>
      </c>
      <c r="E13" s="43"/>
      <c r="F13" s="43"/>
      <c r="G13" s="113" t="s">
        <v>184</v>
      </c>
      <c r="H13" s="134">
        <f t="shared" si="1"/>
        <v>0.60084481668963041</v>
      </c>
      <c r="I13" s="133">
        <f t="shared" si="1"/>
        <v>0.49786136356805905</v>
      </c>
      <c r="J13" s="132">
        <f t="shared" si="1"/>
        <v>0.38536793746679132</v>
      </c>
      <c r="K13" s="43"/>
      <c r="L13" s="43"/>
    </row>
    <row r="14" spans="1:12" x14ac:dyDescent="0.35">
      <c r="A14" s="113"/>
      <c r="B14" s="137"/>
      <c r="C14" s="136"/>
      <c r="D14" s="135"/>
      <c r="E14" s="43"/>
      <c r="F14" s="43"/>
      <c r="G14" s="113"/>
      <c r="H14" s="134"/>
      <c r="I14" s="133"/>
      <c r="J14" s="132"/>
      <c r="K14" s="43"/>
      <c r="L14" s="43"/>
    </row>
    <row r="15" spans="1:12" x14ac:dyDescent="0.35">
      <c r="A15" s="113" t="s">
        <v>189</v>
      </c>
      <c r="B15" s="137">
        <f>EXP(-B5*B7)</f>
        <v>0.99904538743960203</v>
      </c>
      <c r="C15" s="136">
        <f>EXP(-C5*C7)</f>
        <v>0.99904538743960203</v>
      </c>
      <c r="D15" s="135">
        <f>EXP(-D5*D7)</f>
        <v>0.99904538743960203</v>
      </c>
      <c r="E15" s="43"/>
      <c r="F15" s="43"/>
      <c r="G15" s="113" t="s">
        <v>189</v>
      </c>
      <c r="H15" s="134">
        <f>EXP(-H5*H7)</f>
        <v>0.99904538743960203</v>
      </c>
      <c r="I15" s="133">
        <f>EXP(-I5*I7)</f>
        <v>0.99904538743960203</v>
      </c>
      <c r="J15" s="132">
        <f>EXP(-J5*J7)</f>
        <v>0.99904538743960203</v>
      </c>
      <c r="K15" s="43"/>
      <c r="L15" s="43"/>
    </row>
    <row r="16" spans="1:12" x14ac:dyDescent="0.35">
      <c r="A16" s="113" t="s">
        <v>185</v>
      </c>
      <c r="B16" s="137">
        <f>EXP(-B4*B7)</f>
        <v>0.99574005830686885</v>
      </c>
      <c r="C16" s="136">
        <f>EXP(-C4*C7)</f>
        <v>0.99574005830686885</v>
      </c>
      <c r="D16" s="135">
        <f>EXP(-D4*D7)</f>
        <v>0.99574005830686885</v>
      </c>
      <c r="E16" s="43"/>
      <c r="F16" s="43"/>
      <c r="G16" s="113" t="s">
        <v>185</v>
      </c>
      <c r="H16" s="134">
        <f>EXP(-H4*H7)</f>
        <v>0.99574005830686885</v>
      </c>
      <c r="I16" s="133">
        <f>EXP(-I4*I7)</f>
        <v>0.99574005830686885</v>
      </c>
      <c r="J16" s="132">
        <f>EXP(-J4*J7)</f>
        <v>0.99574005830686885</v>
      </c>
      <c r="K16" s="43"/>
      <c r="L16" s="43"/>
    </row>
    <row r="17" spans="1:12" x14ac:dyDescent="0.35">
      <c r="A17" s="113"/>
      <c r="B17" s="137"/>
      <c r="C17" s="136"/>
      <c r="D17" s="135"/>
      <c r="E17" s="43"/>
      <c r="F17" s="43"/>
      <c r="G17" s="113"/>
      <c r="H17" s="134"/>
      <c r="I17" s="133"/>
      <c r="J17" s="132"/>
      <c r="K17" s="43"/>
      <c r="L17" s="43"/>
    </row>
    <row r="18" spans="1:12" x14ac:dyDescent="0.35">
      <c r="A18" s="106" t="s">
        <v>188</v>
      </c>
      <c r="B18" s="131">
        <f>B2*B15*B12-B3*B16*B13</f>
        <v>174.46970094017661</v>
      </c>
      <c r="C18" s="130">
        <f>C2*C15*C12-C3*C16*C13</f>
        <v>130.60200111102085</v>
      </c>
      <c r="D18" s="129">
        <f>D2*D15*D12-D3*D16*D13</f>
        <v>90.970726051185466</v>
      </c>
      <c r="E18" s="43"/>
      <c r="F18" s="43"/>
      <c r="G18" s="106" t="s">
        <v>188</v>
      </c>
      <c r="H18" s="128">
        <f>H2*H15*H12-H3*H16*H13</f>
        <v>173.8330251242844</v>
      </c>
      <c r="I18" s="127">
        <f>I2*I15*I12-I3*I16*I13</f>
        <v>130.06653169831043</v>
      </c>
      <c r="J18" s="126">
        <f>J2*J15*J12-J3*J16*J13</f>
        <v>90.548721578432605</v>
      </c>
      <c r="K18" s="43"/>
      <c r="L18" s="43"/>
    </row>
    <row r="19" spans="1:12" x14ac:dyDescent="0.3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</row>
    <row r="20" spans="1:12" x14ac:dyDescent="0.3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</row>
    <row r="21" spans="1:12" x14ac:dyDescent="0.3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x14ac:dyDescent="0.35">
      <c r="A22" t="s">
        <v>187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</row>
    <row r="23" spans="1:12" x14ac:dyDescent="0.35">
      <c r="A23" s="106" t="s">
        <v>177</v>
      </c>
      <c r="B23" s="125" t="s">
        <v>3</v>
      </c>
      <c r="C23" s="124" t="s">
        <v>186</v>
      </c>
      <c r="D23" s="107" t="s">
        <v>1</v>
      </c>
      <c r="E23" s="43"/>
      <c r="F23" s="43"/>
      <c r="G23" s="106" t="s">
        <v>176</v>
      </c>
      <c r="H23" s="105" t="s">
        <v>3</v>
      </c>
      <c r="I23" s="104" t="s">
        <v>2</v>
      </c>
      <c r="J23" s="103" t="s">
        <v>1</v>
      </c>
      <c r="K23" s="43"/>
      <c r="L23" s="43"/>
    </row>
    <row r="24" spans="1:12" x14ac:dyDescent="0.35">
      <c r="A24" s="113" t="s">
        <v>155</v>
      </c>
      <c r="B24" s="122">
        <v>3220</v>
      </c>
      <c r="C24" s="121">
        <v>3300</v>
      </c>
      <c r="D24" s="120">
        <v>3390</v>
      </c>
      <c r="E24" s="43"/>
      <c r="F24" s="43"/>
      <c r="G24" s="113" t="s">
        <v>155</v>
      </c>
      <c r="H24" s="119">
        <v>3220</v>
      </c>
      <c r="I24" s="118">
        <v>3300</v>
      </c>
      <c r="J24" s="117">
        <v>3390</v>
      </c>
      <c r="K24" s="43"/>
      <c r="L24" s="43"/>
    </row>
    <row r="25" spans="1:12" x14ac:dyDescent="0.35">
      <c r="A25" s="113" t="s">
        <v>185</v>
      </c>
      <c r="B25" s="79">
        <f>EXP(-B5*B7)</f>
        <v>0.99904538743960203</v>
      </c>
      <c r="C25" s="116">
        <f>EXP(-C5*C7)</f>
        <v>0.99904538743960203</v>
      </c>
      <c r="D25" s="123">
        <f>EXP(-D5*D7)</f>
        <v>0.99904538743960203</v>
      </c>
      <c r="E25" s="43"/>
      <c r="F25" s="43"/>
      <c r="G25" s="113" t="s">
        <v>185</v>
      </c>
      <c r="H25" s="112">
        <f>EXP(-H4*H7)</f>
        <v>0.99574005830686885</v>
      </c>
      <c r="I25" s="111">
        <f>EXP(-I4*I7)</f>
        <v>0.99574005830686885</v>
      </c>
      <c r="J25" s="110">
        <f>EXP(-J4*J7)</f>
        <v>0.99574005830686885</v>
      </c>
      <c r="K25" s="43"/>
      <c r="L25" s="43"/>
    </row>
    <row r="26" spans="1:12" x14ac:dyDescent="0.35">
      <c r="A26" s="113" t="s">
        <v>184</v>
      </c>
      <c r="B26" s="79">
        <f>_xlfn.NORM.S.DIST(B10,TRUE)</f>
        <v>0.60208727136986884</v>
      </c>
      <c r="C26" s="116">
        <f>_xlfn.NORM.S.DIST(C10,TRUE)</f>
        <v>0.49914557318278768</v>
      </c>
      <c r="D26" s="114">
        <f>_xlfn.NORM.S.DIST(D10,TRUE)</f>
        <v>0.38659934474276059</v>
      </c>
      <c r="E26" s="43"/>
      <c r="F26" s="43"/>
      <c r="G26" s="113" t="s">
        <v>184</v>
      </c>
      <c r="H26" s="112">
        <f>_xlfn.NORM.S.DIST(H10,TRUE)</f>
        <v>0.60084481668963041</v>
      </c>
      <c r="I26" s="111">
        <f>_xlfn.NORM.S.DIST(I10,TRUE)</f>
        <v>0.49786136356805905</v>
      </c>
      <c r="J26" s="110">
        <f>_xlfn.NORM.S.DIST(J10,TRUE)</f>
        <v>0.38536793746679132</v>
      </c>
      <c r="K26" s="43"/>
      <c r="L26" s="43"/>
    </row>
    <row r="27" spans="1:12" x14ac:dyDescent="0.35">
      <c r="A27" s="113" t="s">
        <v>158</v>
      </c>
      <c r="B27" s="122">
        <v>3303</v>
      </c>
      <c r="C27" s="121">
        <v>3303</v>
      </c>
      <c r="D27" s="120">
        <v>3303</v>
      </c>
      <c r="E27" s="43"/>
      <c r="F27" s="43"/>
      <c r="G27" s="113" t="s">
        <v>158</v>
      </c>
      <c r="H27" s="119">
        <v>3302</v>
      </c>
      <c r="I27" s="118">
        <v>3302</v>
      </c>
      <c r="J27" s="117">
        <v>3302</v>
      </c>
      <c r="K27" s="43"/>
      <c r="L27" s="43"/>
    </row>
    <row r="28" spans="1:12" x14ac:dyDescent="0.35">
      <c r="A28" s="113" t="s">
        <v>183</v>
      </c>
      <c r="B28" s="78">
        <f>EXP(-B5*B7)</f>
        <v>0.99904538743960203</v>
      </c>
      <c r="C28" s="116">
        <f>EXP(-C5*C7)</f>
        <v>0.99904538743960203</v>
      </c>
      <c r="D28" s="114">
        <f>EXP(-D5*D7)</f>
        <v>0.99904538743960203</v>
      </c>
      <c r="E28" s="43"/>
      <c r="F28" s="43"/>
      <c r="G28" s="113" t="s">
        <v>183</v>
      </c>
      <c r="H28" s="112">
        <f>EXP(-H5*H7)</f>
        <v>0.99904538743960203</v>
      </c>
      <c r="I28" s="111">
        <f>EXP(-I5*I7)</f>
        <v>0.99904538743960203</v>
      </c>
      <c r="J28" s="110">
        <f>EXP(-J5*J7)</f>
        <v>0.99904538743960203</v>
      </c>
      <c r="K28" s="43"/>
      <c r="L28" s="43"/>
    </row>
    <row r="29" spans="1:12" x14ac:dyDescent="0.35">
      <c r="A29" s="113" t="s">
        <v>182</v>
      </c>
      <c r="B29" s="78">
        <f>_xlfn.NORM.S.DIST(B9,TRUE)</f>
        <v>0.63788773560610512</v>
      </c>
      <c r="C29" s="115">
        <f>_xlfn.NORM.S.DIST(C9,TRUE)</f>
        <v>0.53662049966410486</v>
      </c>
      <c r="D29" s="114">
        <f>_xlfn.NORM.S.DIST(D9,TRUE)</f>
        <v>0.42303766854854902</v>
      </c>
      <c r="E29" s="43"/>
      <c r="F29" s="43"/>
      <c r="G29" s="113" t="s">
        <v>182</v>
      </c>
      <c r="H29" s="112">
        <f>_xlfn.NORM.S.DIST(H9,TRUE)</f>
        <v>0.63668032669305286</v>
      </c>
      <c r="I29" s="111">
        <f>_xlfn.NORM.S.DIST(I9,TRUE)</f>
        <v>0.53534150775487288</v>
      </c>
      <c r="J29" s="110">
        <f>_xlfn.NORM.S.DIST(J9,TRUE)</f>
        <v>0.42177781708834006</v>
      </c>
      <c r="K29" s="43"/>
      <c r="L29" s="43"/>
    </row>
    <row r="30" spans="1:12" x14ac:dyDescent="0.35">
      <c r="A30" s="113"/>
      <c r="B30" s="78"/>
      <c r="C30" s="115"/>
      <c r="D30" s="114"/>
      <c r="E30" s="43"/>
      <c r="F30" s="43"/>
      <c r="G30" s="113"/>
      <c r="H30" s="112"/>
      <c r="I30" s="111"/>
      <c r="J30" s="110"/>
      <c r="K30" s="43"/>
      <c r="L30" s="43"/>
    </row>
    <row r="31" spans="1:12" x14ac:dyDescent="0.35">
      <c r="A31" s="106" t="s">
        <v>181</v>
      </c>
      <c r="B31" s="109">
        <f>B24*B25*(1-B26)-B27*B28*(1-B29)</f>
        <v>85.140822735498205</v>
      </c>
      <c r="C31" s="108">
        <f>C24*C25*(1-C26)-C27*C28*(1-C29)</f>
        <v>122.1603916137999</v>
      </c>
      <c r="D31" s="107">
        <f>D24*D25*(1-D26)-D27*D28*(1-D29)</f>
        <v>173.55580367782864</v>
      </c>
      <c r="E31" s="43"/>
      <c r="F31" s="43"/>
      <c r="G31" s="106" t="s">
        <v>181</v>
      </c>
      <c r="H31" s="105">
        <f>H24*H25*(1-H26)-H27*H28*(1-H29)</f>
        <v>81.268143546835972</v>
      </c>
      <c r="I31" s="104">
        <f>I24*I25*(1-I26)-I27*I28*(1-I29)</f>
        <v>117.1608547854114</v>
      </c>
      <c r="J31" s="103">
        <f>J24*J25*(1-J26)-J27*J28*(1-J29)</f>
        <v>167.25964991315232</v>
      </c>
      <c r="K31" s="43"/>
      <c r="L31" s="43"/>
    </row>
    <row r="32" spans="1:12" x14ac:dyDescent="0.3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</row>
    <row r="33" spans="1:12" x14ac:dyDescent="0.3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</row>
    <row r="34" spans="1:12" x14ac:dyDescent="0.3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</row>
    <row r="35" spans="1:12" x14ac:dyDescent="0.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</row>
    <row r="36" spans="1:12" x14ac:dyDescent="0.35">
      <c r="A36" t="s">
        <v>180</v>
      </c>
      <c r="C36" s="43"/>
      <c r="D36" s="43"/>
      <c r="E36" s="43"/>
      <c r="F36" s="43"/>
      <c r="G36" s="43"/>
      <c r="H36" s="43"/>
      <c r="I36" s="43"/>
      <c r="J36" s="43"/>
      <c r="K36" s="43"/>
      <c r="L36" s="43"/>
    </row>
    <row r="37" spans="1:12" x14ac:dyDescent="0.35">
      <c r="A37" s="43"/>
      <c r="B37" s="102" t="s">
        <v>179</v>
      </c>
      <c r="C37" s="100"/>
      <c r="D37" s="101" t="s">
        <v>178</v>
      </c>
      <c r="E37" s="21"/>
      <c r="F37" s="43"/>
      <c r="G37" s="43"/>
      <c r="H37" s="43"/>
      <c r="I37" s="43"/>
      <c r="J37" s="43"/>
      <c r="K37" s="154"/>
      <c r="L37" s="43"/>
    </row>
    <row r="38" spans="1:12" x14ac:dyDescent="0.35">
      <c r="A38" s="43"/>
      <c r="B38" s="100" t="s">
        <v>177</v>
      </c>
      <c r="C38" s="100" t="s">
        <v>176</v>
      </c>
      <c r="D38" s="21" t="s">
        <v>177</v>
      </c>
      <c r="E38" s="21" t="s">
        <v>176</v>
      </c>
      <c r="F38" s="43"/>
      <c r="G38" s="43"/>
      <c r="H38" s="43"/>
      <c r="I38" s="43"/>
      <c r="J38" s="43"/>
      <c r="K38" s="43"/>
      <c r="L38" s="43"/>
    </row>
    <row r="39" spans="1:12" x14ac:dyDescent="0.35">
      <c r="A39" s="99" t="s">
        <v>1</v>
      </c>
      <c r="B39" s="98">
        <f>B18</f>
        <v>174.46970094017661</v>
      </c>
      <c r="C39" s="98">
        <f>H18</f>
        <v>173.8330251242844</v>
      </c>
      <c r="D39" s="21">
        <f>D31</f>
        <v>173.55580367782864</v>
      </c>
      <c r="E39" s="21">
        <f>J31</f>
        <v>167.25964991315232</v>
      </c>
      <c r="F39" s="43"/>
      <c r="G39" s="43"/>
      <c r="H39" s="43"/>
      <c r="I39" s="43"/>
      <c r="J39" s="43"/>
      <c r="K39" s="43"/>
      <c r="L39" s="43"/>
    </row>
    <row r="40" spans="1:12" x14ac:dyDescent="0.35">
      <c r="A40" s="99" t="s">
        <v>2</v>
      </c>
      <c r="B40" s="98">
        <f>C18</f>
        <v>130.60200111102085</v>
      </c>
      <c r="C40" s="98">
        <f>I18</f>
        <v>130.06653169831043</v>
      </c>
      <c r="D40" s="21">
        <f>C31</f>
        <v>122.1603916137999</v>
      </c>
      <c r="E40" s="21">
        <f>I31</f>
        <v>117.1608547854114</v>
      </c>
      <c r="F40" s="43"/>
      <c r="G40" s="43"/>
      <c r="H40" s="43"/>
      <c r="I40" s="43"/>
      <c r="J40" s="43"/>
      <c r="K40" s="43"/>
      <c r="L40" s="43"/>
    </row>
    <row r="41" spans="1:12" x14ac:dyDescent="0.35">
      <c r="A41" s="99" t="s">
        <v>3</v>
      </c>
      <c r="B41" s="98">
        <f>D18</f>
        <v>90.970726051185466</v>
      </c>
      <c r="C41" s="98">
        <f>J18</f>
        <v>90.548721578432605</v>
      </c>
      <c r="D41" s="21">
        <f>B31</f>
        <v>85.140822735498205</v>
      </c>
      <c r="E41" s="21">
        <f>H31</f>
        <v>81.268143546835972</v>
      </c>
      <c r="F41" s="43"/>
      <c r="G41" s="43"/>
      <c r="H41" s="43"/>
      <c r="I41" s="43"/>
      <c r="J41" s="43"/>
      <c r="K41" s="43"/>
      <c r="L41" s="43"/>
    </row>
    <row r="42" spans="1:12" x14ac:dyDescent="0.3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2" x14ac:dyDescent="0.3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2" x14ac:dyDescent="0.35">
      <c r="A44" s="43"/>
      <c r="B44" s="43"/>
      <c r="C44" s="43"/>
      <c r="D44" s="43"/>
      <c r="E44" s="43"/>
      <c r="F44" s="4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2A92-18A7-4DE9-A07C-8150994D246F}">
  <dimension ref="A1:W17"/>
  <sheetViews>
    <sheetView workbookViewId="0">
      <selection activeCell="H13" sqref="H13"/>
    </sheetView>
  </sheetViews>
  <sheetFormatPr defaultRowHeight="14.5" x14ac:dyDescent="0.35"/>
  <cols>
    <col min="1" max="1" width="13.26953125" bestFit="1" customWidth="1"/>
  </cols>
  <sheetData>
    <row r="1" spans="1:23" x14ac:dyDescent="0.35">
      <c r="A1" t="s">
        <v>175</v>
      </c>
    </row>
    <row r="2" spans="1:23" x14ac:dyDescent="0.35">
      <c r="A2" s="96" t="s">
        <v>163</v>
      </c>
      <c r="B2" s="96" t="s">
        <v>174</v>
      </c>
      <c r="C2" s="96">
        <v>0</v>
      </c>
      <c r="D2" s="96">
        <v>0</v>
      </c>
      <c r="E2" s="96">
        <v>137.19999999999999</v>
      </c>
      <c r="F2" s="96">
        <v>195.2</v>
      </c>
      <c r="G2" s="96">
        <v>0</v>
      </c>
      <c r="H2" s="96">
        <v>0.25380000000000003</v>
      </c>
      <c r="I2" s="96">
        <v>0.65529999999999999</v>
      </c>
      <c r="J2" s="96">
        <v>1.4E-3</v>
      </c>
      <c r="K2" s="96">
        <v>0</v>
      </c>
      <c r="L2" s="97">
        <v>3220</v>
      </c>
      <c r="M2" s="96" t="s">
        <v>173</v>
      </c>
      <c r="N2" s="96">
        <v>0</v>
      </c>
      <c r="O2" s="96">
        <v>0</v>
      </c>
      <c r="P2" s="96">
        <v>51.6</v>
      </c>
      <c r="Q2" s="96">
        <v>91.6</v>
      </c>
      <c r="R2" s="96">
        <v>0</v>
      </c>
      <c r="S2" s="96">
        <v>0.25440000000000002</v>
      </c>
      <c r="T2" s="96">
        <v>-0.34899999999999998</v>
      </c>
      <c r="U2" s="96">
        <v>1.4E-3</v>
      </c>
      <c r="V2" s="96">
        <v>0</v>
      </c>
      <c r="W2" t="s">
        <v>1</v>
      </c>
    </row>
    <row r="3" spans="1:23" x14ac:dyDescent="0.35">
      <c r="A3" s="96" t="s">
        <v>163</v>
      </c>
      <c r="B3" s="96" t="s">
        <v>172</v>
      </c>
      <c r="C3" s="96">
        <v>0</v>
      </c>
      <c r="D3" s="96">
        <v>0</v>
      </c>
      <c r="E3" s="96">
        <v>88.5</v>
      </c>
      <c r="F3" s="96">
        <v>128.5</v>
      </c>
      <c r="G3" s="96">
        <v>0</v>
      </c>
      <c r="H3" s="96">
        <v>0.22459999999999999</v>
      </c>
      <c r="I3" s="96">
        <v>0.54149999999999998</v>
      </c>
      <c r="J3" s="96">
        <v>1.6999999999999999E-3</v>
      </c>
      <c r="K3" s="96">
        <v>0</v>
      </c>
      <c r="L3" s="97">
        <v>3300</v>
      </c>
      <c r="M3" s="96" t="s">
        <v>171</v>
      </c>
      <c r="N3" s="96">
        <v>0</v>
      </c>
      <c r="O3" s="96">
        <v>0</v>
      </c>
      <c r="P3" s="96">
        <v>72.400000000000006</v>
      </c>
      <c r="Q3" s="96">
        <v>112.4</v>
      </c>
      <c r="R3" s="96">
        <v>0</v>
      </c>
      <c r="S3" s="96">
        <v>0.22159999999999999</v>
      </c>
      <c r="T3" s="96">
        <v>-0.46610000000000001</v>
      </c>
      <c r="U3" s="96">
        <v>1.6999999999999999E-3</v>
      </c>
      <c r="V3" s="96">
        <v>0</v>
      </c>
      <c r="W3" t="s">
        <v>2</v>
      </c>
    </row>
    <row r="4" spans="1:23" x14ac:dyDescent="0.35">
      <c r="A4" s="96" t="s">
        <v>163</v>
      </c>
      <c r="B4" s="96" t="s">
        <v>170</v>
      </c>
      <c r="C4" s="96">
        <v>0</v>
      </c>
      <c r="D4" s="96">
        <v>0</v>
      </c>
      <c r="E4" s="96">
        <v>34.799999999999997</v>
      </c>
      <c r="F4" s="96">
        <v>74.8</v>
      </c>
      <c r="G4" s="96">
        <v>0</v>
      </c>
      <c r="H4" s="96">
        <v>0.19139999999999999</v>
      </c>
      <c r="I4" s="96">
        <v>0.37869999999999998</v>
      </c>
      <c r="J4" s="96">
        <v>1.8E-3</v>
      </c>
      <c r="K4" s="96">
        <v>0</v>
      </c>
      <c r="L4" s="97">
        <v>3390</v>
      </c>
      <c r="M4" s="96" t="s">
        <v>169</v>
      </c>
      <c r="N4" s="96">
        <v>0</v>
      </c>
      <c r="O4" s="96">
        <v>0</v>
      </c>
      <c r="P4" s="96">
        <v>101.4</v>
      </c>
      <c r="Q4" s="96">
        <v>159.4</v>
      </c>
      <c r="R4" s="96">
        <v>0</v>
      </c>
      <c r="S4" s="96">
        <v>0.191</v>
      </c>
      <c r="T4" s="96">
        <v>-0.63560000000000005</v>
      </c>
      <c r="U4" s="96">
        <v>1.9E-3</v>
      </c>
      <c r="V4" s="96">
        <v>0</v>
      </c>
      <c r="W4" t="s">
        <v>3</v>
      </c>
    </row>
    <row r="6" spans="1:23" x14ac:dyDescent="0.35">
      <c r="A6" s="96" t="s">
        <v>168</v>
      </c>
    </row>
    <row r="7" spans="1:23" x14ac:dyDescent="0.35">
      <c r="A7" s="96" t="s">
        <v>163</v>
      </c>
      <c r="B7" s="96" t="s">
        <v>167</v>
      </c>
      <c r="C7" s="96">
        <v>0</v>
      </c>
      <c r="D7" s="96">
        <v>0</v>
      </c>
      <c r="E7" s="96">
        <v>141.5</v>
      </c>
      <c r="F7" s="96">
        <v>199.5</v>
      </c>
      <c r="G7" s="96">
        <v>0</v>
      </c>
      <c r="H7" s="96">
        <v>0.2631</v>
      </c>
      <c r="I7" s="96">
        <v>0.66200000000000003</v>
      </c>
      <c r="J7" s="96">
        <v>1.4E-3</v>
      </c>
      <c r="K7" s="96">
        <v>0</v>
      </c>
      <c r="L7" s="97">
        <v>3220</v>
      </c>
      <c r="M7" s="96" t="s">
        <v>166</v>
      </c>
      <c r="N7" s="96">
        <v>0</v>
      </c>
      <c r="O7" s="96">
        <v>0</v>
      </c>
      <c r="P7" s="96">
        <v>44.1</v>
      </c>
      <c r="Q7" s="96">
        <v>84.1</v>
      </c>
      <c r="R7" s="96">
        <v>0</v>
      </c>
      <c r="S7" s="96">
        <v>0.23860000000000001</v>
      </c>
      <c r="T7" s="96">
        <v>-0.3372</v>
      </c>
      <c r="U7" s="96">
        <v>1.4E-3</v>
      </c>
      <c r="V7" s="96">
        <v>0</v>
      </c>
      <c r="W7" t="s">
        <v>1</v>
      </c>
    </row>
    <row r="8" spans="1:23" x14ac:dyDescent="0.35">
      <c r="A8" s="96" t="s">
        <v>163</v>
      </c>
      <c r="B8" s="96" t="s">
        <v>165</v>
      </c>
      <c r="C8" s="96">
        <v>0</v>
      </c>
      <c r="D8" s="96">
        <v>0</v>
      </c>
      <c r="E8" s="96">
        <v>90.5</v>
      </c>
      <c r="F8" s="96">
        <v>130.5</v>
      </c>
      <c r="G8" s="96">
        <v>0</v>
      </c>
      <c r="H8" s="96">
        <v>0.22819999999999999</v>
      </c>
      <c r="I8" s="96">
        <v>0.54279999999999995</v>
      </c>
      <c r="J8" s="96">
        <v>1.8E-3</v>
      </c>
      <c r="K8" s="96">
        <v>0</v>
      </c>
      <c r="L8" s="97">
        <v>3300</v>
      </c>
      <c r="M8" s="96" t="s">
        <v>164</v>
      </c>
      <c r="N8" s="96">
        <v>0</v>
      </c>
      <c r="O8" s="96">
        <v>0</v>
      </c>
      <c r="P8" s="96">
        <v>73.099999999999994</v>
      </c>
      <c r="Q8" s="96">
        <v>113.1</v>
      </c>
      <c r="R8" s="96">
        <v>0</v>
      </c>
      <c r="S8" s="96">
        <v>0.22650000000000001</v>
      </c>
      <c r="T8" s="96">
        <v>-0.45639999999999997</v>
      </c>
      <c r="U8" s="96">
        <v>1.8E-3</v>
      </c>
      <c r="V8" s="96">
        <v>0</v>
      </c>
      <c r="W8" t="s">
        <v>2</v>
      </c>
    </row>
    <row r="9" spans="1:23" x14ac:dyDescent="0.35">
      <c r="A9" s="96" t="s">
        <v>163</v>
      </c>
      <c r="B9" s="96" t="s">
        <v>162</v>
      </c>
      <c r="C9" s="96">
        <v>0</v>
      </c>
      <c r="D9" s="96">
        <v>0</v>
      </c>
      <c r="E9" s="96">
        <v>35.200000000000003</v>
      </c>
      <c r="F9" s="96">
        <v>75.2</v>
      </c>
      <c r="G9" s="96">
        <v>0</v>
      </c>
      <c r="H9" s="96">
        <v>0.1918</v>
      </c>
      <c r="I9" s="96">
        <v>0.37090000000000001</v>
      </c>
      <c r="J9" s="96">
        <v>1.9E-3</v>
      </c>
      <c r="K9" s="96">
        <v>0</v>
      </c>
      <c r="L9" s="97">
        <v>3390</v>
      </c>
      <c r="M9" s="96" t="s">
        <v>161</v>
      </c>
      <c r="N9" s="96">
        <v>0</v>
      </c>
      <c r="O9" s="96">
        <v>0</v>
      </c>
      <c r="P9" s="96">
        <v>101.6</v>
      </c>
      <c r="Q9" s="96">
        <v>159.6</v>
      </c>
      <c r="R9" s="96">
        <v>0</v>
      </c>
      <c r="S9" s="96">
        <v>0.19750000000000001</v>
      </c>
      <c r="T9" s="96">
        <v>-0.62829999999999997</v>
      </c>
      <c r="U9" s="96">
        <v>1.9E-3</v>
      </c>
      <c r="V9" s="96">
        <v>0</v>
      </c>
      <c r="W9" t="s">
        <v>3</v>
      </c>
    </row>
    <row r="11" spans="1:23" x14ac:dyDescent="0.35">
      <c r="A11">
        <v>0.27729999999999999</v>
      </c>
      <c r="B11" t="s">
        <v>160</v>
      </c>
      <c r="C11" s="96"/>
    </row>
    <row r="12" spans="1:23" x14ac:dyDescent="0.35">
      <c r="A12">
        <v>3303</v>
      </c>
      <c r="B12" t="s">
        <v>158</v>
      </c>
      <c r="C12" t="s">
        <v>159</v>
      </c>
    </row>
    <row r="13" spans="1:23" x14ac:dyDescent="0.35">
      <c r="A13">
        <v>3302</v>
      </c>
      <c r="B13" t="s">
        <v>158</v>
      </c>
      <c r="C13" t="s">
        <v>157</v>
      </c>
    </row>
    <row r="14" spans="1:23" x14ac:dyDescent="0.35">
      <c r="A14" t="s">
        <v>156</v>
      </c>
      <c r="B14" t="s">
        <v>155</v>
      </c>
      <c r="C14" t="s">
        <v>154</v>
      </c>
    </row>
    <row r="15" spans="1:23" x14ac:dyDescent="0.35">
      <c r="A15">
        <v>3.7100000000000001E-2</v>
      </c>
      <c r="B15" t="s">
        <v>153</v>
      </c>
      <c r="C15" t="s">
        <v>152</v>
      </c>
    </row>
    <row r="16" spans="1:23" x14ac:dyDescent="0.35">
      <c r="A16">
        <v>8.3000000000000001E-3</v>
      </c>
      <c r="B16" t="s">
        <v>151</v>
      </c>
      <c r="C16" t="s">
        <v>150</v>
      </c>
      <c r="E16" s="95">
        <v>8.3000000000000001E-3</v>
      </c>
    </row>
    <row r="17" spans="1:5" x14ac:dyDescent="0.35">
      <c r="A17">
        <f>42/365</f>
        <v>0.11506849315068493</v>
      </c>
      <c r="B17" t="s">
        <v>149</v>
      </c>
      <c r="C17" t="s">
        <v>148</v>
      </c>
      <c r="E17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065C8-A350-45D3-8956-A414DF4F7010}">
  <dimension ref="A1:G19"/>
  <sheetViews>
    <sheetView tabSelected="1" workbookViewId="0">
      <selection activeCell="C5" sqref="C5"/>
    </sheetView>
  </sheetViews>
  <sheetFormatPr defaultRowHeight="14.5" x14ac:dyDescent="0.35"/>
  <cols>
    <col min="3" max="3" width="9.26953125" bestFit="1" customWidth="1"/>
    <col min="5" max="5" width="9.26953125" bestFit="1" customWidth="1"/>
  </cols>
  <sheetData>
    <row r="1" spans="1:7" x14ac:dyDescent="0.35">
      <c r="A1" s="10" t="s">
        <v>0</v>
      </c>
      <c r="B1" s="11"/>
      <c r="C1" s="12"/>
    </row>
    <row r="2" spans="1:7" x14ac:dyDescent="0.35">
      <c r="A2" s="13"/>
      <c r="B2" s="14"/>
      <c r="C2" s="36"/>
    </row>
    <row r="3" spans="1:7" x14ac:dyDescent="0.35">
      <c r="A3" s="15" t="s">
        <v>4</v>
      </c>
      <c r="B3" s="13"/>
      <c r="C3" s="35">
        <v>3303.02</v>
      </c>
    </row>
    <row r="4" spans="1:7" x14ac:dyDescent="0.35">
      <c r="A4" s="16" t="s">
        <v>5</v>
      </c>
      <c r="B4" s="27"/>
      <c r="C4" s="35">
        <v>3220</v>
      </c>
    </row>
    <row r="5" spans="1:7" x14ac:dyDescent="0.35">
      <c r="A5" s="16" t="s">
        <v>6</v>
      </c>
      <c r="B5" s="27"/>
      <c r="C5" s="155">
        <v>0.1123287671</v>
      </c>
      <c r="E5" s="29" t="s">
        <v>7</v>
      </c>
      <c r="F5" s="34"/>
      <c r="G5" s="33" t="s">
        <v>8</v>
      </c>
    </row>
    <row r="6" spans="1:7" x14ac:dyDescent="0.35">
      <c r="A6" s="16" t="s">
        <v>9</v>
      </c>
      <c r="B6" s="27"/>
      <c r="C6" s="37">
        <v>3.6700000000000003E-2</v>
      </c>
      <c r="E6" s="30" t="s">
        <v>10</v>
      </c>
      <c r="F6" s="30" t="s">
        <v>11</v>
      </c>
    </row>
    <row r="7" spans="1:7" x14ac:dyDescent="0.35">
      <c r="A7" s="26" t="s">
        <v>12</v>
      </c>
      <c r="B7" s="10"/>
      <c r="C7" s="37">
        <v>8.3000000000000001E-3</v>
      </c>
    </row>
    <row r="8" spans="1:7" x14ac:dyDescent="0.35">
      <c r="A8" s="27" t="s">
        <v>13</v>
      </c>
      <c r="B8" s="38"/>
      <c r="C8" s="35">
        <v>0.27729999999999999</v>
      </c>
      <c r="E8" s="32" t="s">
        <v>14</v>
      </c>
      <c r="F8" s="32"/>
      <c r="G8" s="32">
        <v>3302.46</v>
      </c>
    </row>
    <row r="9" spans="1:7" x14ac:dyDescent="0.35">
      <c r="A9" s="15" t="s">
        <v>15</v>
      </c>
      <c r="B9" s="156"/>
      <c r="C9" s="35">
        <v>3</v>
      </c>
      <c r="E9" s="31" t="s">
        <v>16</v>
      </c>
      <c r="F9" s="31"/>
      <c r="G9" s="31">
        <v>3303.02</v>
      </c>
    </row>
    <row r="11" spans="1:7" x14ac:dyDescent="0.35">
      <c r="A11" s="17" t="s">
        <v>17</v>
      </c>
      <c r="B11" s="18"/>
      <c r="C11" s="19"/>
    </row>
    <row r="12" spans="1:7" x14ac:dyDescent="0.35">
      <c r="A12" s="20"/>
      <c r="B12" s="21"/>
      <c r="C12" s="22"/>
    </row>
    <row r="13" spans="1:7" x14ac:dyDescent="0.35">
      <c r="A13" s="17" t="s">
        <v>18</v>
      </c>
      <c r="B13" s="19"/>
      <c r="C13" s="22">
        <f>C5/C9</f>
        <v>3.7442922366666666E-2</v>
      </c>
    </row>
    <row r="14" spans="1:7" x14ac:dyDescent="0.35">
      <c r="A14" s="23" t="s">
        <v>19</v>
      </c>
      <c r="B14" s="24"/>
      <c r="C14" s="24">
        <f>EXP(C8*SQRT(C13))</f>
        <v>1.0551237216661897</v>
      </c>
    </row>
    <row r="15" spans="1:7" x14ac:dyDescent="0.35">
      <c r="A15" s="25" t="s">
        <v>20</v>
      </c>
      <c r="B15" s="22"/>
      <c r="C15" s="24">
        <f>1/C14</f>
        <v>0.94775615358249976</v>
      </c>
    </row>
    <row r="16" spans="1:7" x14ac:dyDescent="0.35">
      <c r="A16" s="25" t="s">
        <v>21</v>
      </c>
      <c r="B16" s="22"/>
      <c r="C16" s="24">
        <f>EXP((C6-C7)*C13)</f>
        <v>1.0010639445831173</v>
      </c>
    </row>
    <row r="17" spans="1:3" x14ac:dyDescent="0.35">
      <c r="A17" s="25" t="s">
        <v>22</v>
      </c>
      <c r="B17" s="22"/>
      <c r="C17" s="24">
        <f>(C16-C15)/(C14-C15)</f>
        <v>0.49649807620738551</v>
      </c>
    </row>
    <row r="18" spans="1:3" x14ac:dyDescent="0.35">
      <c r="A18" s="25" t="s">
        <v>23</v>
      </c>
      <c r="B18" s="22"/>
      <c r="C18" s="24">
        <f>1-C17</f>
        <v>0.50350192379261449</v>
      </c>
    </row>
    <row r="19" spans="1:3" x14ac:dyDescent="0.35">
      <c r="A19" s="25" t="s">
        <v>24</v>
      </c>
      <c r="B19" s="22"/>
      <c r="C19" s="24">
        <f>EXP(-C6*C13)</f>
        <v>0.99862678846814845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53EA-7D10-470D-A757-9E6EDC04D753}">
  <dimension ref="A1:G16"/>
  <sheetViews>
    <sheetView workbookViewId="0">
      <selection activeCell="E13" sqref="E13"/>
    </sheetView>
  </sheetViews>
  <sheetFormatPr defaultRowHeight="14.5" x14ac:dyDescent="0.35"/>
  <sheetData>
    <row r="1" spans="1:7" x14ac:dyDescent="0.35">
      <c r="A1" s="9" t="s">
        <v>25</v>
      </c>
      <c r="B1" s="1"/>
    </row>
    <row r="2" spans="1:7" x14ac:dyDescent="0.35">
      <c r="A2" s="8" t="s">
        <v>26</v>
      </c>
    </row>
    <row r="4" spans="1:7" x14ac:dyDescent="0.35">
      <c r="A4" s="4" t="s">
        <v>27</v>
      </c>
      <c r="C4" s="4" t="s">
        <v>28</v>
      </c>
      <c r="E4" s="4" t="s">
        <v>29</v>
      </c>
      <c r="G4" s="4" t="s">
        <v>30</v>
      </c>
    </row>
    <row r="6" spans="1:7" x14ac:dyDescent="0.35">
      <c r="A6" s="4" t="s">
        <v>31</v>
      </c>
      <c r="C6" s="4" t="s">
        <v>32</v>
      </c>
      <c r="E6" s="4" t="s">
        <v>33</v>
      </c>
      <c r="G6" s="4" t="s">
        <v>34</v>
      </c>
    </row>
    <row r="7" spans="1:7" x14ac:dyDescent="0.35">
      <c r="A7" s="4">
        <f>binomial_inputs!C$3</f>
        <v>3303.02</v>
      </c>
      <c r="C7" s="4">
        <f>A7*binomial_inputs!$C$14</f>
        <v>3485.0947551378581</v>
      </c>
      <c r="E7" s="4">
        <f>A7*binomial_inputs!$C$14^2</f>
        <v>3677.2061484003748</v>
      </c>
      <c r="G7" s="4">
        <f>A7*binomial_inputs!$C$14^3</f>
        <v>3879.9074366339987</v>
      </c>
    </row>
    <row r="9" spans="1:7" x14ac:dyDescent="0.35">
      <c r="C9" s="4" t="s">
        <v>35</v>
      </c>
      <c r="E9" s="4" t="s">
        <v>36</v>
      </c>
      <c r="G9" s="4" t="s">
        <v>37</v>
      </c>
    </row>
    <row r="10" spans="1:7" x14ac:dyDescent="0.35">
      <c r="C10" s="4">
        <f>A7*binomial_inputs!$C$15</f>
        <v>3130.4575304060681</v>
      </c>
      <c r="E10" s="4">
        <f>A7*binomial_inputs!$C$14*binomial_inputs!$C$15</f>
        <v>3303.0200000000004</v>
      </c>
      <c r="G10" s="4">
        <f>A7*binomial_inputs!$C$14^2*binomial_inputs!$C$15</f>
        <v>3485.0947551378581</v>
      </c>
    </row>
    <row r="12" spans="1:7" x14ac:dyDescent="0.35">
      <c r="E12" s="4" t="s">
        <v>38</v>
      </c>
      <c r="G12" s="4" t="s">
        <v>39</v>
      </c>
    </row>
    <row r="13" spans="1:7" x14ac:dyDescent="0.35">
      <c r="E13" s="4">
        <f>A7*binomial_inputs!$C$15^2</f>
        <v>2966.9103879710265</v>
      </c>
      <c r="G13" s="4">
        <f>A7*binomial_inputs!$C$14*binomial_inputs!$C$15^2</f>
        <v>3130.4575304060686</v>
      </c>
    </row>
    <row r="15" spans="1:7" x14ac:dyDescent="0.35">
      <c r="G15" s="4" t="s">
        <v>40</v>
      </c>
    </row>
    <row r="16" spans="1:7" x14ac:dyDescent="0.35">
      <c r="G16" s="4">
        <f>A7*binomial_inputs!$C$15^3</f>
        <v>2811.9075773273826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9F73-7163-4D00-AFB5-E06300BEF02C}">
  <dimension ref="A1:I42"/>
  <sheetViews>
    <sheetView workbookViewId="0">
      <selection activeCell="F46" sqref="F46"/>
    </sheetView>
  </sheetViews>
  <sheetFormatPr defaultRowHeight="14.5" x14ac:dyDescent="0.35"/>
  <sheetData>
    <row r="1" spans="1:9" x14ac:dyDescent="0.35">
      <c r="A1" s="4" t="s">
        <v>41</v>
      </c>
      <c r="B1" s="6"/>
      <c r="C1" s="6"/>
      <c r="D1" s="1"/>
    </row>
    <row r="3" spans="1:9" x14ac:dyDescent="0.35">
      <c r="A3" s="4" t="s">
        <v>42</v>
      </c>
      <c r="B3" s="4"/>
      <c r="C3" s="1" t="str">
        <f>binomial_inputs!$G$5</f>
        <v>call</v>
      </c>
    </row>
    <row r="4" spans="1:9" x14ac:dyDescent="0.35">
      <c r="A4" s="4" t="s">
        <v>43</v>
      </c>
      <c r="B4" s="4"/>
      <c r="C4" s="1">
        <f>binomial_inputs!$C$4</f>
        <v>3220</v>
      </c>
    </row>
    <row r="6" spans="1:9" x14ac:dyDescent="0.35">
      <c r="A6" s="4" t="s">
        <v>44</v>
      </c>
      <c r="B6" s="1"/>
    </row>
    <row r="8" spans="1:9" x14ac:dyDescent="0.35">
      <c r="A8" s="4" t="s">
        <v>45</v>
      </c>
      <c r="C8" s="4" t="s">
        <v>46</v>
      </c>
      <c r="E8" s="4" t="s">
        <v>47</v>
      </c>
      <c r="G8" s="9" t="s">
        <v>48</v>
      </c>
      <c r="H8" s="9" t="s">
        <v>49</v>
      </c>
      <c r="I8" s="1"/>
    </row>
    <row r="10" spans="1:9" x14ac:dyDescent="0.35">
      <c r="A10" s="4" t="s">
        <v>50</v>
      </c>
      <c r="C10" s="4" t="s">
        <v>32</v>
      </c>
      <c r="E10" s="4" t="s">
        <v>51</v>
      </c>
      <c r="G10" s="9" t="s">
        <v>52</v>
      </c>
      <c r="H10" s="4" t="s">
        <v>53</v>
      </c>
    </row>
    <row r="11" spans="1:9" x14ac:dyDescent="0.35">
      <c r="A11" s="8">
        <f>binomial_Base_model!$A$7</f>
        <v>3303.02</v>
      </c>
      <c r="C11" s="4">
        <f>binomial_Base_model!$C$7</f>
        <v>3485.0947551378581</v>
      </c>
      <c r="E11" s="4">
        <f>binomial_Base_model!$E$7</f>
        <v>3677.2061484003748</v>
      </c>
      <c r="G11" s="9">
        <f>binomial_Base_model!$G$7</f>
        <v>3879.9074366339987</v>
      </c>
      <c r="H11" s="4">
        <f>IF($C$3="Call", MAX(G11-$C$4,0), MAX($C$4-G11,0))</f>
        <v>659.90743663399871</v>
      </c>
    </row>
    <row r="13" spans="1:9" x14ac:dyDescent="0.35">
      <c r="C13" s="4" t="s">
        <v>35</v>
      </c>
      <c r="E13" s="4" t="s">
        <v>54</v>
      </c>
      <c r="G13" s="9" t="s">
        <v>55</v>
      </c>
      <c r="H13" s="4" t="s">
        <v>56</v>
      </c>
    </row>
    <row r="14" spans="1:9" x14ac:dyDescent="0.35">
      <c r="C14" s="4">
        <f>binomial_Base_model!$C$10</f>
        <v>3130.4575304060681</v>
      </c>
      <c r="E14" s="4">
        <f>binomial_Base_model!$E$10</f>
        <v>3303.0200000000004</v>
      </c>
      <c r="G14" s="9">
        <f>binomial_Base_model!$G$10</f>
        <v>3485.0947551378581</v>
      </c>
      <c r="H14" s="4">
        <f>IF($C$3="Call", MAX(G14-$C$4,0), MAX($C$4-G14,0))</f>
        <v>265.0947551378581</v>
      </c>
    </row>
    <row r="16" spans="1:9" x14ac:dyDescent="0.35">
      <c r="E16" s="4" t="s">
        <v>57</v>
      </c>
      <c r="G16" s="9" t="s">
        <v>58</v>
      </c>
      <c r="H16" s="4" t="s">
        <v>59</v>
      </c>
    </row>
    <row r="17" spans="1:8" x14ac:dyDescent="0.35">
      <c r="E17" s="4">
        <f>binomial_Base_model!$E$13</f>
        <v>2966.9103879710265</v>
      </c>
      <c r="G17" s="9">
        <f>binomial_Base_model!$G$13</f>
        <v>3130.4575304060686</v>
      </c>
      <c r="H17" s="4">
        <f>IF($C$3="Call", MAX(G17-$C$4,0), MAX($C$4-G17,0))</f>
        <v>0</v>
      </c>
    </row>
    <row r="19" spans="1:8" x14ac:dyDescent="0.35">
      <c r="G19" s="9" t="s">
        <v>60</v>
      </c>
      <c r="H19" s="4" t="s">
        <v>61</v>
      </c>
    </row>
    <row r="20" spans="1:8" x14ac:dyDescent="0.35">
      <c r="G20" s="9">
        <f>binomial_Base_model!$G$16</f>
        <v>2811.9075773273826</v>
      </c>
      <c r="H20" s="4">
        <f>IF($C$3="Call", MAX(G20-$C$4,0), MAX($C$4-G20,0))</f>
        <v>0</v>
      </c>
    </row>
    <row r="22" spans="1:8" x14ac:dyDescent="0.35">
      <c r="A22" s="9" t="s">
        <v>62</v>
      </c>
      <c r="B22" s="6"/>
      <c r="C22" s="4"/>
    </row>
    <row r="24" spans="1:8" x14ac:dyDescent="0.35">
      <c r="A24" s="9" t="s">
        <v>63</v>
      </c>
      <c r="B24" s="1"/>
    </row>
    <row r="26" spans="1:8" x14ac:dyDescent="0.35">
      <c r="A26" s="2" t="s">
        <v>64</v>
      </c>
      <c r="B26" s="3"/>
    </row>
    <row r="27" spans="1:8" x14ac:dyDescent="0.35">
      <c r="A27" s="28" t="s">
        <v>65</v>
      </c>
      <c r="B27" s="28">
        <f>binomial_inputs!$C$19*(binomial_inputs!$C$17*H11 + binomial_inputs!$C$18*H14)</f>
        <v>460.4852787322576</v>
      </c>
    </row>
    <row r="28" spans="1:8" x14ac:dyDescent="0.35">
      <c r="A28" s="4" t="s">
        <v>66</v>
      </c>
      <c r="B28" s="4">
        <f>binomial_inputs!$C$19*(binomial_inputs!$C$17*H14+binomial_inputs!$C$18*H17)</f>
        <v>131.43829516065239</v>
      </c>
    </row>
    <row r="29" spans="1:8" x14ac:dyDescent="0.35">
      <c r="A29" s="4" t="s">
        <v>67</v>
      </c>
      <c r="B29" s="4">
        <f>binomial_inputs!$C$19*(binomial_inputs!$C$17*H17+binomial_inputs!$C$18*H20)</f>
        <v>0</v>
      </c>
    </row>
    <row r="31" spans="1:8" x14ac:dyDescent="0.35">
      <c r="A31" s="4" t="s">
        <v>68</v>
      </c>
      <c r="B31" s="4"/>
    </row>
    <row r="33" spans="1:3" x14ac:dyDescent="0.35">
      <c r="A33" s="4" t="s">
        <v>69</v>
      </c>
      <c r="B33" s="4"/>
    </row>
    <row r="34" spans="1:3" x14ac:dyDescent="0.35">
      <c r="A34" s="4" t="s">
        <v>70</v>
      </c>
      <c r="B34" s="4">
        <f>binomial_inputs!$C$19*(binomial_inputs!$C$17*B27+binomial_inputs!$C$18*B28)</f>
        <v>294.40465369513646</v>
      </c>
    </row>
    <row r="35" spans="1:3" x14ac:dyDescent="0.35">
      <c r="A35" s="4" t="s">
        <v>71</v>
      </c>
      <c r="B35" s="4">
        <f>binomial_inputs!$C$19*(binomial_inputs!$C$17*B28 + binomial_inputs!$C$18*B29)</f>
        <v>65.169246467191201</v>
      </c>
    </row>
    <row r="37" spans="1:3" x14ac:dyDescent="0.35">
      <c r="A37" s="4" t="s">
        <v>72</v>
      </c>
      <c r="B37" s="4"/>
    </row>
    <row r="39" spans="1:3" x14ac:dyDescent="0.35">
      <c r="A39" s="4" t="s">
        <v>73</v>
      </c>
      <c r="B39" s="4"/>
    </row>
    <row r="40" spans="1:3" x14ac:dyDescent="0.35">
      <c r="A40" s="4" t="s">
        <v>74</v>
      </c>
      <c r="B40" s="4">
        <f>binomial_inputs!$C$19*(binomial_inputs!$C$17*B34 + binomial_inputs!$C$18*B35)</f>
        <v>178.73840200740943</v>
      </c>
    </row>
    <row r="42" spans="1:3" x14ac:dyDescent="0.35">
      <c r="A42" s="5" t="s">
        <v>75</v>
      </c>
      <c r="B42" s="6"/>
      <c r="C42" s="4">
        <f>B40</f>
        <v>178.73840200740943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0825-26D8-40E5-89AF-98C30DC6F481}">
  <dimension ref="A1:I61"/>
  <sheetViews>
    <sheetView topLeftCell="A28" workbookViewId="0">
      <selection activeCell="M10" sqref="M10"/>
    </sheetView>
  </sheetViews>
  <sheetFormatPr defaultRowHeight="14.5" x14ac:dyDescent="0.35"/>
  <sheetData>
    <row r="1" spans="1:9" x14ac:dyDescent="0.35">
      <c r="A1" s="4" t="s">
        <v>76</v>
      </c>
      <c r="B1" s="4"/>
      <c r="C1" s="4"/>
      <c r="D1" s="4"/>
    </row>
    <row r="3" spans="1:9" x14ac:dyDescent="0.35">
      <c r="A3" s="4" t="s">
        <v>42</v>
      </c>
      <c r="B3" s="4"/>
      <c r="C3" s="1" t="str">
        <f>binomial_inputs!$G$5</f>
        <v>call</v>
      </c>
    </row>
    <row r="4" spans="1:9" x14ac:dyDescent="0.35">
      <c r="A4" s="4" t="s">
        <v>43</v>
      </c>
      <c r="B4" s="4"/>
      <c r="C4" s="1">
        <f>binomial_inputs!$C$4</f>
        <v>3220</v>
      </c>
    </row>
    <row r="6" spans="1:9" x14ac:dyDescent="0.35">
      <c r="A6" s="4" t="s">
        <v>44</v>
      </c>
      <c r="B6" s="4"/>
    </row>
    <row r="8" spans="1:9" x14ac:dyDescent="0.35">
      <c r="A8" s="4" t="s">
        <v>45</v>
      </c>
      <c r="C8" s="4" t="s">
        <v>46</v>
      </c>
      <c r="E8" s="4" t="s">
        <v>47</v>
      </c>
      <c r="G8" s="9" t="s">
        <v>48</v>
      </c>
      <c r="H8" s="4" t="s">
        <v>49</v>
      </c>
      <c r="I8" s="4"/>
    </row>
    <row r="10" spans="1:9" x14ac:dyDescent="0.35">
      <c r="A10" s="4" t="s">
        <v>50</v>
      </c>
      <c r="C10" s="4" t="s">
        <v>32</v>
      </c>
      <c r="E10" s="4" t="s">
        <v>33</v>
      </c>
      <c r="G10" s="4" t="s">
        <v>52</v>
      </c>
      <c r="H10" s="4" t="s">
        <v>53</v>
      </c>
    </row>
    <row r="11" spans="1:9" x14ac:dyDescent="0.35">
      <c r="A11" s="4">
        <f>binomial_Base_model!$A$7</f>
        <v>3303.02</v>
      </c>
      <c r="C11" s="4">
        <f>binomial_Base_model!$C$7</f>
        <v>3485.0947551378581</v>
      </c>
      <c r="E11" s="4">
        <f>binomial_Base_model!$E$7</f>
        <v>3677.2061484003748</v>
      </c>
      <c r="G11" s="4">
        <f>binomial_Base_model!$G$7</f>
        <v>3879.9074366339987</v>
      </c>
      <c r="H11" s="4">
        <f>IF($C$3="Call", MAX(G11-$C$4,0), MAX($C$4-G11,0))</f>
        <v>659.90743663399871</v>
      </c>
    </row>
    <row r="13" spans="1:9" x14ac:dyDescent="0.35">
      <c r="C13" s="4" t="s">
        <v>35</v>
      </c>
      <c r="E13" s="4" t="s">
        <v>54</v>
      </c>
      <c r="G13" s="4" t="s">
        <v>55</v>
      </c>
      <c r="H13" s="4" t="s">
        <v>56</v>
      </c>
    </row>
    <row r="14" spans="1:9" x14ac:dyDescent="0.35">
      <c r="C14" s="4">
        <f>binomial_Base_model!$C$10</f>
        <v>3130.4575304060681</v>
      </c>
      <c r="E14" s="4">
        <f>binomial_Base_model!$E$10</f>
        <v>3303.0200000000004</v>
      </c>
      <c r="G14" s="4">
        <f>binomial_Base_model!$G$10</f>
        <v>3485.0947551378581</v>
      </c>
      <c r="H14" s="4">
        <f>IF($C$3="Call", MAX(G14-$C$4,0), MAX($C$4-G14,0))</f>
        <v>265.0947551378581</v>
      </c>
    </row>
    <row r="16" spans="1:9" x14ac:dyDescent="0.35">
      <c r="E16" s="4" t="s">
        <v>57</v>
      </c>
      <c r="G16" s="4" t="s">
        <v>58</v>
      </c>
      <c r="H16" s="4" t="s">
        <v>59</v>
      </c>
    </row>
    <row r="17" spans="1:8" x14ac:dyDescent="0.35">
      <c r="E17" s="4">
        <f>binomial_Base_model!$E$13</f>
        <v>2966.9103879710265</v>
      </c>
      <c r="G17" s="4">
        <f>binomial_Base_model!$G$13</f>
        <v>3130.4575304060686</v>
      </c>
      <c r="H17" s="4">
        <f>IF($C$3="Call", MAX(G17-$C$4,0), MAX($C$4-G17,0))</f>
        <v>0</v>
      </c>
    </row>
    <row r="19" spans="1:8" x14ac:dyDescent="0.35">
      <c r="G19" s="4" t="s">
        <v>60</v>
      </c>
      <c r="H19" s="4" t="s">
        <v>61</v>
      </c>
    </row>
    <row r="20" spans="1:8" x14ac:dyDescent="0.35">
      <c r="G20" s="4">
        <f>binomial_Base_model!$G$16</f>
        <v>2811.9075773273826</v>
      </c>
      <c r="H20" s="4">
        <f>IF($C$3="Call", MAX(G20-$C$4,0), MAX($C$4-G20,0))</f>
        <v>0</v>
      </c>
    </row>
    <row r="22" spans="1:8" x14ac:dyDescent="0.35">
      <c r="A22" s="4" t="s">
        <v>77</v>
      </c>
      <c r="B22" s="4"/>
      <c r="C22" s="4"/>
      <c r="D22" s="4"/>
      <c r="E22" s="4"/>
    </row>
    <row r="24" spans="1:8" x14ac:dyDescent="0.35">
      <c r="A24" s="4" t="s">
        <v>78</v>
      </c>
      <c r="B24" s="4"/>
    </row>
    <row r="26" spans="1:8" x14ac:dyDescent="0.35">
      <c r="A26" s="4" t="s">
        <v>79</v>
      </c>
      <c r="B26" s="4"/>
      <c r="C26" s="4"/>
    </row>
    <row r="27" spans="1:8" x14ac:dyDescent="0.35">
      <c r="A27" s="8" t="s">
        <v>80</v>
      </c>
      <c r="B27" s="8">
        <f>binomial_inputs!$C$19*(binomial_inputs!$C$17*H11 + binomial_inputs!$C$18*H14)</f>
        <v>460.4852787322576</v>
      </c>
    </row>
    <row r="28" spans="1:8" x14ac:dyDescent="0.35">
      <c r="A28" s="4" t="s">
        <v>81</v>
      </c>
      <c r="B28" s="4">
        <f>IF($C$3="Call", MAX(E11-$C$4,0), MAX($C$4-E11,0))</f>
        <v>457.20614840037479</v>
      </c>
    </row>
    <row r="29" spans="1:8" x14ac:dyDescent="0.35">
      <c r="A29" s="4" t="s">
        <v>65</v>
      </c>
      <c r="B29" s="4">
        <f>MAX(B27, B28)</f>
        <v>460.4852787322576</v>
      </c>
    </row>
    <row r="31" spans="1:8" x14ac:dyDescent="0.35">
      <c r="A31" s="4" t="s">
        <v>82</v>
      </c>
      <c r="B31" s="4"/>
    </row>
    <row r="32" spans="1:8" x14ac:dyDescent="0.35">
      <c r="A32" s="4" t="s">
        <v>83</v>
      </c>
      <c r="B32" s="4">
        <f>binomial_inputs!$C$19*(binomial_inputs!$C$17*H14 + binomial_inputs!$C$18*H17)</f>
        <v>131.43829516065239</v>
      </c>
    </row>
    <row r="33" spans="1:3" x14ac:dyDescent="0.35">
      <c r="A33" s="4" t="s">
        <v>84</v>
      </c>
      <c r="B33" s="4">
        <f>IF($C$3="Call", MAX(E14-$C$4,0), MAX($C$4-E14,0))</f>
        <v>83.020000000000437</v>
      </c>
    </row>
    <row r="34" spans="1:3" x14ac:dyDescent="0.35">
      <c r="A34" s="4" t="s">
        <v>66</v>
      </c>
      <c r="B34" s="4">
        <f>MAX(B32, B33)</f>
        <v>131.43829516065239</v>
      </c>
    </row>
    <row r="36" spans="1:3" x14ac:dyDescent="0.35">
      <c r="A36" s="4" t="s">
        <v>79</v>
      </c>
      <c r="B36" s="9"/>
      <c r="C36" s="4"/>
    </row>
    <row r="37" spans="1:3" x14ac:dyDescent="0.35">
      <c r="A37" s="4" t="s">
        <v>85</v>
      </c>
      <c r="B37" s="4">
        <f>binomial_inputs!$C$19*(binomial_inputs!$C$17*H17 + binomial_inputs!$C$18*H20)</f>
        <v>0</v>
      </c>
    </row>
    <row r="38" spans="1:3" x14ac:dyDescent="0.35">
      <c r="A38" s="4" t="s">
        <v>86</v>
      </c>
      <c r="B38" s="4">
        <f>IF($C$3="Call", MAX(E17-$C$4,0), MAX($C$4-E17,0))</f>
        <v>0</v>
      </c>
    </row>
    <row r="39" spans="1:3" x14ac:dyDescent="0.35">
      <c r="A39" s="4" t="s">
        <v>87</v>
      </c>
      <c r="B39" s="4">
        <f>MAX(B37, B38)</f>
        <v>0</v>
      </c>
    </row>
    <row r="41" spans="1:3" x14ac:dyDescent="0.35">
      <c r="A41" s="4" t="s">
        <v>88</v>
      </c>
      <c r="B41" s="4"/>
    </row>
    <row r="43" spans="1:3" x14ac:dyDescent="0.35">
      <c r="A43" s="4" t="s">
        <v>89</v>
      </c>
      <c r="B43" s="4"/>
      <c r="C43" s="1"/>
    </row>
    <row r="44" spans="1:3" x14ac:dyDescent="0.35">
      <c r="A44" s="8" t="s">
        <v>90</v>
      </c>
      <c r="B44" s="8">
        <f>binomial_inputs!$C$19*(binomial_inputs!$C$17*B29 + binomial_inputs!$C$18*B34)</f>
        <v>294.40465369513646</v>
      </c>
    </row>
    <row r="45" spans="1:3" x14ac:dyDescent="0.35">
      <c r="A45" s="4" t="s">
        <v>91</v>
      </c>
      <c r="B45" s="4">
        <f>IF($C$3="Call", MAX(C11-$C$4,0), MAX($C$4-C11,0))</f>
        <v>265.0947551378581</v>
      </c>
    </row>
    <row r="46" spans="1:3" x14ac:dyDescent="0.35">
      <c r="A46" s="4" t="s">
        <v>70</v>
      </c>
      <c r="B46" s="4">
        <f>MAX(B44, B45)</f>
        <v>294.40465369513646</v>
      </c>
    </row>
    <row r="48" spans="1:3" x14ac:dyDescent="0.35">
      <c r="A48" s="4" t="s">
        <v>92</v>
      </c>
      <c r="B48" s="4"/>
      <c r="C48" s="1"/>
    </row>
    <row r="49" spans="1:3" x14ac:dyDescent="0.35">
      <c r="A49" s="8" t="s">
        <v>93</v>
      </c>
      <c r="B49" s="8">
        <f>binomial_inputs!$C$19*(binomial_inputs!$C$17*B34 + binomial_inputs!$C$18*B39)</f>
        <v>65.169246467191201</v>
      </c>
    </row>
    <row r="50" spans="1:3" x14ac:dyDescent="0.35">
      <c r="A50" s="4" t="s">
        <v>94</v>
      </c>
      <c r="B50" s="4">
        <f>IF($C$3="Call", MAX(C14-$C$4,0), MAX($C$4-C14,0))</f>
        <v>0</v>
      </c>
    </row>
    <row r="51" spans="1:3" x14ac:dyDescent="0.35">
      <c r="A51" s="4" t="s">
        <v>71</v>
      </c>
      <c r="B51" s="4">
        <f>MAX(B49, B50)</f>
        <v>65.169246467191201</v>
      </c>
    </row>
    <row r="53" spans="1:3" x14ac:dyDescent="0.35">
      <c r="A53" s="4" t="s">
        <v>72</v>
      </c>
      <c r="B53" s="4"/>
    </row>
    <row r="55" spans="1:3" x14ac:dyDescent="0.35">
      <c r="A55" s="4" t="s">
        <v>95</v>
      </c>
      <c r="B55" s="4"/>
      <c r="C55" s="1"/>
    </row>
    <row r="56" spans="1:3" x14ac:dyDescent="0.35">
      <c r="A56" s="8" t="s">
        <v>96</v>
      </c>
      <c r="B56" s="8">
        <f>binomial_inputs!$C$19*(binomial_inputs!$C$17*B46 + binomial_inputs!$C$18*B51)</f>
        <v>178.73840200740943</v>
      </c>
    </row>
    <row r="57" spans="1:3" x14ac:dyDescent="0.35">
      <c r="A57" s="4" t="s">
        <v>97</v>
      </c>
      <c r="B57" s="4">
        <f>IF($C$3="Call", MAX(A11-$C$4,0), MAX($C$4-A11,0))</f>
        <v>83.019999999999982</v>
      </c>
    </row>
    <row r="58" spans="1:3" x14ac:dyDescent="0.35">
      <c r="A58" s="4" t="s">
        <v>74</v>
      </c>
      <c r="B58" s="4">
        <f>MAX(B56,B57)</f>
        <v>178.73840200740943</v>
      </c>
    </row>
    <row r="60" spans="1:3" x14ac:dyDescent="0.35">
      <c r="A60" s="7"/>
    </row>
    <row r="61" spans="1:3" x14ac:dyDescent="0.35">
      <c r="A61" s="4" t="s">
        <v>98</v>
      </c>
      <c r="B61" s="4"/>
      <c r="C61" s="4">
        <f>B58</f>
        <v>178.73840200740943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EA04-585E-44FE-A16B-D8A53ED3017E}">
  <dimension ref="A1:H27"/>
  <sheetViews>
    <sheetView workbookViewId="0">
      <selection activeCell="N14" sqref="N14"/>
    </sheetView>
  </sheetViews>
  <sheetFormatPr defaultRowHeight="14.5" x14ac:dyDescent="0.35"/>
  <cols>
    <col min="5" max="6" width="9.26953125" bestFit="1" customWidth="1"/>
    <col min="8" max="9" width="9.26953125" bestFit="1" customWidth="1"/>
  </cols>
  <sheetData>
    <row r="1" spans="1:8" x14ac:dyDescent="0.35">
      <c r="A1" s="46" t="s">
        <v>99</v>
      </c>
      <c r="B1" s="46"/>
      <c r="C1" s="46"/>
      <c r="D1" s="46"/>
      <c r="E1" s="43"/>
      <c r="F1" s="43"/>
      <c r="G1" s="43"/>
      <c r="H1" s="43"/>
    </row>
    <row r="2" spans="1:8" x14ac:dyDescent="0.35">
      <c r="A2" s="43"/>
      <c r="B2" s="43"/>
      <c r="C2" s="43"/>
      <c r="D2" s="43"/>
      <c r="E2" s="43"/>
      <c r="F2" s="43"/>
      <c r="G2" s="43"/>
      <c r="H2" s="43"/>
    </row>
    <row r="3" spans="1:8" x14ac:dyDescent="0.35">
      <c r="A3" s="47" t="s">
        <v>100</v>
      </c>
      <c r="B3" s="47"/>
      <c r="C3" s="47"/>
      <c r="D3" s="43"/>
      <c r="E3" s="43"/>
      <c r="F3" s="43"/>
      <c r="G3" s="43"/>
      <c r="H3" s="43"/>
    </row>
    <row r="4" spans="1:8" x14ac:dyDescent="0.35">
      <c r="A4" s="46" t="s">
        <v>101</v>
      </c>
      <c r="B4" s="46" t="s">
        <v>102</v>
      </c>
      <c r="C4" s="46" t="s">
        <v>103</v>
      </c>
      <c r="D4" s="46" t="s">
        <v>104</v>
      </c>
      <c r="E4" s="40" t="s">
        <v>105</v>
      </c>
      <c r="F4" s="39" t="s">
        <v>223</v>
      </c>
      <c r="G4" s="47"/>
      <c r="H4" s="43"/>
    </row>
    <row r="5" spans="1:8" x14ac:dyDescent="0.35">
      <c r="A5" s="46" t="s">
        <v>1</v>
      </c>
      <c r="B5" s="46" t="s">
        <v>10</v>
      </c>
      <c r="C5" s="46">
        <v>3220</v>
      </c>
      <c r="D5" s="46">
        <v>3303.02</v>
      </c>
      <c r="E5" s="40">
        <f>binomial_inputs!$C$5</f>
        <v>0.1123287671</v>
      </c>
      <c r="F5" s="39">
        <v>178.73840000000001</v>
      </c>
      <c r="G5" s="41"/>
      <c r="H5" s="43"/>
    </row>
    <row r="6" spans="1:8" x14ac:dyDescent="0.35">
      <c r="A6" s="46" t="s">
        <v>3</v>
      </c>
      <c r="B6" s="46" t="s">
        <v>11</v>
      </c>
      <c r="C6" s="46">
        <v>3220</v>
      </c>
      <c r="D6" s="46">
        <v>3303.02</v>
      </c>
      <c r="E6" s="40">
        <f>binomial_inputs!$C$5</f>
        <v>0.1123287671</v>
      </c>
      <c r="F6" s="39">
        <v>86.434280000000001</v>
      </c>
      <c r="G6" s="41"/>
      <c r="H6" s="43"/>
    </row>
    <row r="7" spans="1:8" x14ac:dyDescent="0.35">
      <c r="A7" s="46" t="s">
        <v>2</v>
      </c>
      <c r="B7" s="46" t="s">
        <v>10</v>
      </c>
      <c r="C7" s="48">
        <v>3300</v>
      </c>
      <c r="D7" s="46">
        <v>3303.02</v>
      </c>
      <c r="E7" s="40">
        <f>binomial_inputs!$C$5</f>
        <v>0.1123287671</v>
      </c>
      <c r="F7" s="39">
        <v>139.32149999999999</v>
      </c>
      <c r="G7" s="41"/>
      <c r="H7" s="43"/>
    </row>
    <row r="8" spans="1:8" x14ac:dyDescent="0.35">
      <c r="A8" s="46" t="s">
        <v>2</v>
      </c>
      <c r="B8" s="46" t="s">
        <v>11</v>
      </c>
      <c r="C8" s="48">
        <v>3300</v>
      </c>
      <c r="D8" s="46">
        <v>3303.02</v>
      </c>
      <c r="E8" s="40">
        <f>binomial_inputs!$C$5</f>
        <v>0.1123287671</v>
      </c>
      <c r="F8" s="39">
        <v>126.71599999999999</v>
      </c>
      <c r="G8" s="41"/>
      <c r="H8" s="43"/>
    </row>
    <row r="9" spans="1:8" x14ac:dyDescent="0.35">
      <c r="A9" s="46" t="s">
        <v>3</v>
      </c>
      <c r="B9" s="46" t="s">
        <v>10</v>
      </c>
      <c r="C9" s="46">
        <v>3390</v>
      </c>
      <c r="D9" s="46">
        <v>3303.02</v>
      </c>
      <c r="E9" s="40">
        <f>binomial_inputs!$C$5</f>
        <v>0.1123287671</v>
      </c>
      <c r="F9" s="39">
        <v>94.97739</v>
      </c>
      <c r="G9" s="41"/>
      <c r="H9" s="43"/>
    </row>
    <row r="10" spans="1:8" x14ac:dyDescent="0.35">
      <c r="A10" s="46" t="s">
        <v>1</v>
      </c>
      <c r="B10" s="46" t="s">
        <v>11</v>
      </c>
      <c r="C10" s="46">
        <v>3390</v>
      </c>
      <c r="D10" s="46">
        <v>3303.02</v>
      </c>
      <c r="E10" s="40">
        <f>binomial_inputs!$C$5</f>
        <v>0.1123287671</v>
      </c>
      <c r="F10" s="40">
        <v>172.03290000000001</v>
      </c>
      <c r="G10" s="42"/>
      <c r="H10" s="43"/>
    </row>
    <row r="11" spans="1:8" x14ac:dyDescent="0.35">
      <c r="A11" s="43"/>
      <c r="B11" s="43"/>
      <c r="C11" s="43"/>
      <c r="D11" s="43"/>
      <c r="E11" s="43"/>
      <c r="F11" s="43"/>
      <c r="G11" s="43"/>
      <c r="H11" s="43"/>
    </row>
    <row r="12" spans="1:8" x14ac:dyDescent="0.35">
      <c r="A12" s="40" t="s">
        <v>106</v>
      </c>
      <c r="B12" s="46"/>
      <c r="C12" s="46"/>
      <c r="D12" s="43"/>
      <c r="E12" s="43"/>
      <c r="F12" s="43"/>
      <c r="G12" s="43"/>
      <c r="H12" s="43"/>
    </row>
    <row r="13" spans="1:8" x14ac:dyDescent="0.35">
      <c r="A13" s="46" t="s">
        <v>101</v>
      </c>
      <c r="B13" s="49" t="s">
        <v>102</v>
      </c>
      <c r="C13" s="50" t="s">
        <v>103</v>
      </c>
      <c r="D13" s="46" t="s">
        <v>104</v>
      </c>
      <c r="E13" s="40" t="s">
        <v>105</v>
      </c>
      <c r="F13" s="39" t="s">
        <v>224</v>
      </c>
      <c r="G13" s="47"/>
      <c r="H13" s="43"/>
    </row>
    <row r="14" spans="1:8" x14ac:dyDescent="0.35">
      <c r="A14" s="46" t="s">
        <v>1</v>
      </c>
      <c r="B14" s="46" t="s">
        <v>10</v>
      </c>
      <c r="C14" s="48">
        <v>3220</v>
      </c>
      <c r="D14" s="49">
        <v>3302.46</v>
      </c>
      <c r="E14" s="50">
        <f>binomial_inputs!$C$5</f>
        <v>0.1123287671</v>
      </c>
      <c r="F14" s="40">
        <v>178.4391</v>
      </c>
      <c r="G14" s="42"/>
      <c r="H14" s="43"/>
    </row>
    <row r="15" spans="1:8" x14ac:dyDescent="0.35">
      <c r="A15" s="46" t="s">
        <v>3</v>
      </c>
      <c r="B15" s="46" t="s">
        <v>11</v>
      </c>
      <c r="C15" s="48">
        <v>3220</v>
      </c>
      <c r="D15" s="49">
        <v>3302.46</v>
      </c>
      <c r="E15" s="50">
        <f>binomial_inputs!$C$5</f>
        <v>0.1123287671</v>
      </c>
      <c r="F15" s="44">
        <v>85.809640000000002</v>
      </c>
      <c r="G15" s="45"/>
      <c r="H15" s="43"/>
    </row>
    <row r="16" spans="1:8" x14ac:dyDescent="0.35">
      <c r="A16" s="46" t="s">
        <v>2</v>
      </c>
      <c r="B16" s="46" t="s">
        <v>10</v>
      </c>
      <c r="C16" s="48">
        <v>3300</v>
      </c>
      <c r="D16" s="49">
        <v>3302.46</v>
      </c>
      <c r="E16" s="50">
        <f>binomial_inputs!$C$5</f>
        <v>0.1123287671</v>
      </c>
      <c r="F16" s="39">
        <v>139.0222</v>
      </c>
      <c r="G16" s="41"/>
      <c r="H16" s="43"/>
    </row>
    <row r="17" spans="1:8" x14ac:dyDescent="0.35">
      <c r="A17" s="46" t="s">
        <v>2</v>
      </c>
      <c r="B17" s="46" t="s">
        <v>11</v>
      </c>
      <c r="C17" s="48">
        <v>3300</v>
      </c>
      <c r="D17" s="49">
        <v>3302.46</v>
      </c>
      <c r="E17" s="50">
        <f>binomial_inputs!$C$5</f>
        <v>0.1123287671</v>
      </c>
      <c r="F17" s="39">
        <v>126.97620000000001</v>
      </c>
      <c r="G17" s="41"/>
      <c r="H17" s="43"/>
    </row>
    <row r="18" spans="1:8" x14ac:dyDescent="0.35">
      <c r="A18" s="46" t="s">
        <v>3</v>
      </c>
      <c r="B18" s="46" t="s">
        <v>10</v>
      </c>
      <c r="C18" s="46">
        <v>3390</v>
      </c>
      <c r="D18" s="49">
        <v>3302.46</v>
      </c>
      <c r="E18" s="50">
        <f>binomial_inputs!$C$5</f>
        <v>0.1123287671</v>
      </c>
      <c r="F18" s="39">
        <v>94.678110000000004</v>
      </c>
      <c r="G18" s="41"/>
      <c r="H18" s="43"/>
    </row>
    <row r="19" spans="1:8" x14ac:dyDescent="0.35">
      <c r="A19" s="46" t="s">
        <v>1</v>
      </c>
      <c r="B19" s="46" t="s">
        <v>11</v>
      </c>
      <c r="C19" s="46">
        <v>3390</v>
      </c>
      <c r="D19" s="49">
        <v>3302.46</v>
      </c>
      <c r="E19" s="50">
        <f>binomial_inputs!$C$5</f>
        <v>0.1123287671</v>
      </c>
      <c r="F19" s="40">
        <v>171.3493</v>
      </c>
      <c r="G19" s="42"/>
      <c r="H19" s="43"/>
    </row>
    <row r="20" spans="1:8" x14ac:dyDescent="0.35">
      <c r="A20" s="43"/>
      <c r="B20" s="43"/>
      <c r="C20" s="43"/>
      <c r="D20" s="43"/>
      <c r="E20" s="43"/>
      <c r="F20" s="43"/>
      <c r="G20" s="43"/>
      <c r="H20" s="43"/>
    </row>
    <row r="24" spans="1:8" x14ac:dyDescent="0.35">
      <c r="C24" s="153"/>
    </row>
    <row r="25" spans="1:8" x14ac:dyDescent="0.35">
      <c r="C25" s="153"/>
    </row>
    <row r="26" spans="1:8" x14ac:dyDescent="0.35">
      <c r="C26" s="153"/>
    </row>
    <row r="27" spans="1:8" x14ac:dyDescent="0.35">
      <c r="C27" s="15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791C-7183-4C76-BFEF-430BDD6B2FA6}">
  <dimension ref="A1:U19"/>
  <sheetViews>
    <sheetView workbookViewId="0">
      <selection activeCell="Q24" sqref="Q24"/>
    </sheetView>
  </sheetViews>
  <sheetFormatPr defaultRowHeight="14.5" x14ac:dyDescent="0.35"/>
  <cols>
    <col min="4" max="4" width="9.26953125" bestFit="1" customWidth="1"/>
  </cols>
  <sheetData>
    <row r="1" spans="1:21" x14ac:dyDescent="0.3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21" x14ac:dyDescent="0.3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21" ht="25" x14ac:dyDescent="0.35">
      <c r="A3" s="150" t="s">
        <v>208</v>
      </c>
      <c r="B3" s="158" t="s">
        <v>207</v>
      </c>
      <c r="C3" s="158"/>
      <c r="D3" s="158"/>
      <c r="E3" s="159"/>
      <c r="F3" s="159"/>
      <c r="G3" s="159"/>
      <c r="H3" s="160" t="s">
        <v>206</v>
      </c>
      <c r="I3" s="160"/>
      <c r="J3" s="160"/>
      <c r="K3" s="160"/>
      <c r="L3" s="160"/>
      <c r="M3" s="161"/>
      <c r="N3" s="43"/>
    </row>
    <row r="4" spans="1:21" x14ac:dyDescent="0.35">
      <c r="A4" s="151" t="s">
        <v>192</v>
      </c>
      <c r="B4" s="158" t="s">
        <v>205</v>
      </c>
      <c r="C4" s="159"/>
      <c r="D4" s="159"/>
      <c r="E4" s="162" t="s">
        <v>204</v>
      </c>
      <c r="F4" s="162"/>
      <c r="G4" s="163"/>
      <c r="H4" s="164" t="s">
        <v>205</v>
      </c>
      <c r="I4" s="160"/>
      <c r="J4" s="161"/>
      <c r="K4" s="164" t="s">
        <v>204</v>
      </c>
      <c r="L4" s="160"/>
      <c r="M4" s="161"/>
      <c r="N4" s="43"/>
    </row>
    <row r="5" spans="1:21" x14ac:dyDescent="0.35">
      <c r="A5" s="151" t="s">
        <v>192</v>
      </c>
      <c r="B5" s="147" t="s">
        <v>203</v>
      </c>
      <c r="C5" s="146" t="s">
        <v>202</v>
      </c>
      <c r="D5" s="148" t="s">
        <v>201</v>
      </c>
      <c r="E5" s="141" t="s">
        <v>203</v>
      </c>
      <c r="F5" s="141" t="s">
        <v>202</v>
      </c>
      <c r="G5" s="141" t="s">
        <v>201</v>
      </c>
      <c r="H5" s="141" t="s">
        <v>203</v>
      </c>
      <c r="I5" s="141" t="s">
        <v>202</v>
      </c>
      <c r="J5" s="141" t="s">
        <v>201</v>
      </c>
      <c r="K5" s="141" t="s">
        <v>203</v>
      </c>
      <c r="L5" s="141" t="s">
        <v>202</v>
      </c>
      <c r="M5" s="141" t="s">
        <v>201</v>
      </c>
      <c r="N5" s="43"/>
      <c r="R5" s="139"/>
      <c r="S5" s="139"/>
    </row>
    <row r="6" spans="1:21" x14ac:dyDescent="0.35">
      <c r="A6" s="147" t="s">
        <v>1</v>
      </c>
      <c r="B6" s="146" t="s">
        <v>209</v>
      </c>
      <c r="C6" s="143">
        <v>179.6</v>
      </c>
      <c r="D6" s="149">
        <v>178.73840000000001</v>
      </c>
      <c r="E6" s="142" t="s">
        <v>212</v>
      </c>
      <c r="F6" s="141">
        <v>178.1</v>
      </c>
      <c r="G6" s="145" t="s">
        <v>200</v>
      </c>
      <c r="H6" s="141" t="s">
        <v>222</v>
      </c>
      <c r="I6" s="141">
        <v>137.9</v>
      </c>
      <c r="J6" s="141" t="s">
        <v>194</v>
      </c>
      <c r="K6" s="141" t="s">
        <v>218</v>
      </c>
      <c r="L6" s="141">
        <v>136.1</v>
      </c>
      <c r="M6" s="141" t="s">
        <v>193</v>
      </c>
      <c r="N6" s="43"/>
      <c r="R6" s="139"/>
      <c r="S6" s="139"/>
    </row>
    <row r="7" spans="1:21" x14ac:dyDescent="0.35">
      <c r="A7" s="144" t="s">
        <v>2</v>
      </c>
      <c r="B7" s="141" t="s">
        <v>210</v>
      </c>
      <c r="C7" s="143">
        <v>92.6</v>
      </c>
      <c r="D7" s="149">
        <v>139.32149999999999</v>
      </c>
      <c r="E7" s="142" t="s">
        <v>213</v>
      </c>
      <c r="F7" s="141">
        <v>110.8</v>
      </c>
      <c r="G7" s="141" t="s">
        <v>198</v>
      </c>
      <c r="H7" s="141" t="s">
        <v>215</v>
      </c>
      <c r="I7" s="141">
        <v>113.4</v>
      </c>
      <c r="J7" s="141" t="s">
        <v>197</v>
      </c>
      <c r="K7" s="141" t="s">
        <v>217</v>
      </c>
      <c r="L7" s="141">
        <v>975</v>
      </c>
      <c r="M7" s="141" t="s">
        <v>196</v>
      </c>
      <c r="N7" s="43"/>
      <c r="R7" s="139"/>
      <c r="S7" s="139"/>
    </row>
    <row r="8" spans="1:21" x14ac:dyDescent="0.35">
      <c r="A8" s="141" t="s">
        <v>3</v>
      </c>
      <c r="B8" s="141" t="s">
        <v>211</v>
      </c>
      <c r="C8" s="143">
        <v>58</v>
      </c>
      <c r="D8" s="149">
        <v>94.9773</v>
      </c>
      <c r="E8" s="142" t="s">
        <v>214</v>
      </c>
      <c r="F8" s="141">
        <v>58.5</v>
      </c>
      <c r="G8" s="141" t="s">
        <v>195</v>
      </c>
      <c r="H8" s="141" t="s">
        <v>216</v>
      </c>
      <c r="I8" s="141">
        <v>77.3</v>
      </c>
      <c r="J8" s="141" t="s">
        <v>219</v>
      </c>
      <c r="K8" s="141" t="s">
        <v>220</v>
      </c>
      <c r="L8" s="141">
        <v>76.8</v>
      </c>
      <c r="M8" s="141" t="s">
        <v>199</v>
      </c>
      <c r="N8" s="43"/>
    </row>
    <row r="9" spans="1:21" x14ac:dyDescent="0.3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</row>
    <row r="10" spans="1:21" ht="15.5" x14ac:dyDescent="0.35">
      <c r="A10" s="43"/>
      <c r="B10" s="43"/>
      <c r="C10" s="43"/>
      <c r="D10" s="43"/>
      <c r="E10" s="43"/>
      <c r="F10" s="43"/>
      <c r="G10" s="43"/>
      <c r="H10" s="43"/>
      <c r="I10" s="152" t="s">
        <v>192</v>
      </c>
      <c r="J10" s="43"/>
      <c r="K10" s="43"/>
      <c r="L10" s="43"/>
      <c r="M10" s="43"/>
      <c r="N10" s="43"/>
    </row>
    <row r="11" spans="1:21" ht="15" customHeight="1" x14ac:dyDescent="0.35">
      <c r="I11" s="140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</row>
    <row r="12" spans="1:21" x14ac:dyDescent="0.35">
      <c r="I12" s="139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</row>
    <row r="13" spans="1:21" x14ac:dyDescent="0.35"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</row>
    <row r="14" spans="1:21" x14ac:dyDescent="0.35">
      <c r="I14" s="139"/>
      <c r="J14" s="139"/>
      <c r="K14" s="139"/>
      <c r="L14" s="139"/>
      <c r="M14" s="139" t="s">
        <v>221</v>
      </c>
      <c r="N14" s="139"/>
      <c r="O14" s="139"/>
      <c r="P14" s="139"/>
      <c r="Q14" s="139"/>
      <c r="R14" s="139"/>
      <c r="S14" s="139"/>
      <c r="T14" s="139"/>
      <c r="U14" s="139"/>
    </row>
    <row r="15" spans="1:21" x14ac:dyDescent="0.35"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</row>
    <row r="16" spans="1:21" x14ac:dyDescent="0.35"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</row>
    <row r="17" spans="18:20" x14ac:dyDescent="0.35">
      <c r="R17" s="139"/>
      <c r="S17" s="139"/>
      <c r="T17" s="139"/>
    </row>
    <row r="18" spans="18:20" x14ac:dyDescent="0.35">
      <c r="R18" s="139"/>
      <c r="S18" s="139"/>
      <c r="T18" s="139"/>
    </row>
    <row r="19" spans="18:20" x14ac:dyDescent="0.35">
      <c r="R19" s="139"/>
      <c r="S19" s="139"/>
      <c r="T19" s="139"/>
    </row>
  </sheetData>
  <mergeCells count="12">
    <mergeCell ref="B3:G3"/>
    <mergeCell ref="H3:M3"/>
    <mergeCell ref="B4:D4"/>
    <mergeCell ref="E4:G4"/>
    <mergeCell ref="H4:J4"/>
    <mergeCell ref="K4:M4"/>
    <mergeCell ref="J11:O11"/>
    <mergeCell ref="P11:U11"/>
    <mergeCell ref="J12:L12"/>
    <mergeCell ref="M12:O12"/>
    <mergeCell ref="P12:R12"/>
    <mergeCell ref="S12:U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1221EAF5D9B04CB6A9EACF37AB0307" ma:contentTypeVersion="14" ma:contentTypeDescription="Create a new document." ma:contentTypeScope="" ma:versionID="697f0b469c5725f41cacc47575f77a74">
  <xsd:schema xmlns:xsd="http://www.w3.org/2001/XMLSchema" xmlns:xs="http://www.w3.org/2001/XMLSchema" xmlns:p="http://schemas.microsoft.com/office/2006/metadata/properties" xmlns:ns3="02102646-6409-4b99-81d8-c1352655cd78" xmlns:ns4="22138027-a47f-4ba1-aa34-91b43dc35550" targetNamespace="http://schemas.microsoft.com/office/2006/metadata/properties" ma:root="true" ma:fieldsID="f32dd48a91b76ea467a849bba9f636dc" ns3:_="" ns4:_="">
    <xsd:import namespace="02102646-6409-4b99-81d8-c1352655cd78"/>
    <xsd:import namespace="22138027-a47f-4ba1-aa34-91b43dc3555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02646-6409-4b99-81d8-c1352655cd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38027-a47f-4ba1-aa34-91b43dc3555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2102646-6409-4b99-81d8-c1352655cd7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26ACEA-58EE-444A-9ED0-341A38C033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02646-6409-4b99-81d8-c1352655cd78"/>
    <ds:schemaRef ds:uri="22138027-a47f-4ba1-aa34-91b43dc355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446519-C723-4766-84E0-BCA602DD750C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22138027-a47f-4ba1-aa34-91b43dc35550"/>
    <ds:schemaRef ds:uri="02102646-6409-4b99-81d8-c1352655cd78"/>
  </ds:schemaRefs>
</ds:datastoreItem>
</file>

<file path=customXml/itemProps3.xml><?xml version="1.0" encoding="utf-8"?>
<ds:datastoreItem xmlns:ds="http://schemas.openxmlformats.org/officeDocument/2006/customXml" ds:itemID="{C9633EC5-CF77-484A-8098-00992EE57B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PCP</vt:lpstr>
      <vt:lpstr>Black_Scholes</vt:lpstr>
      <vt:lpstr>B&amp;S_Data </vt:lpstr>
      <vt:lpstr>binomial_inputs</vt:lpstr>
      <vt:lpstr>binomial_Base_model</vt:lpstr>
      <vt:lpstr>Binomial_Euro_opt</vt:lpstr>
      <vt:lpstr>binomial_Amer_opt</vt:lpstr>
      <vt:lpstr>Binomial_Results</vt:lpstr>
      <vt:lpstr>Final_results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Angus Kennedy</dc:creator>
  <cp:keywords/>
  <dc:description/>
  <cp:lastModifiedBy>Angus Kennedy - 233</cp:lastModifiedBy>
  <cp:revision/>
  <dcterms:created xsi:type="dcterms:W3CDTF">2026-03-10T14:30:59Z</dcterms:created>
  <dcterms:modified xsi:type="dcterms:W3CDTF">2026-04-05T18:52:05Z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0x010100A31221EAF5D9B04CB6A9EACF37AB0307</vt:lpwstr>
  </property>
</Properties>
</file>